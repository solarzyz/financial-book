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WACC &amp; EV" sheetId="3" state="visible" r:id="rId3"/>
    <sheet xmlns:r="http://schemas.openxmlformats.org/officeDocument/2006/relationships" name="FCF fade" sheetId="4" state="visible" r:id="rId4"/>
    <sheet xmlns:r="http://schemas.openxmlformats.org/officeDocument/2006/relationships" name="Grid" sheetId="5" state="visible" r:id="rId5"/>
    <sheet xmlns:r="http://schemas.openxmlformats.org/officeDocument/2006/relationships" name="ตรวจกับหนังสือ" sheetId="6" state="visible" r:id="rId6"/>
  </sheets>
  <definedNames>
    <definedName name="price">'Inputs'!$B$2</definedName>
    <definedName name="sh">'Inputs'!$B$3</definedName>
    <definedName name="debt">'Inputs'!$B$4</definedName>
    <definedName name="cash">'Inputs'!$B$5</definedName>
    <definedName name="cfo_fy">'Inputs'!$B$6</definedName>
    <definedName name="cfo_h26">'Inputs'!$B$7</definedName>
    <definedName name="cfo_h25">'Inputs'!$B$8</definedName>
    <definedName name="capex_fy">'Inputs'!$B$9</definedName>
    <definedName name="capex_h26">'Inputs'!$B$10</definedName>
    <definedName name="capex_h25">'Inputs'!$B$11</definedName>
    <definedName name="sbc_fy">'Inputs'!$B$12</definedName>
    <definedName name="sbc_h26">'Inputs'!$B$13</definedName>
    <definedName name="sbc_h25">'Inputs'!$B$14</definedName>
    <definedName name="rev_fy">'Inputs'!$B$15</definedName>
    <definedName name="rev_h26">'Inputs'!$B$16</definedName>
    <definedName name="rev_h25">'Inputs'!$B$17</definedName>
    <definedName name="rf">'Inputs'!$B$18</definedName>
    <definedName name="erp">'Inputs'!$B$19</definedName>
    <definedName name="beta_u">'Inputs'!$B$20</definedName>
    <definedName name="tax_us">'Inputs'!$B$21</definedName>
    <definedName name="kd">'Inputs'!$B$22</definedName>
    <definedName name="gt">'Inputs'!$B$23</definedName>
    <definedName name="g1_try">'Inputs'!$B$24</definedName>
    <definedName name="mcap">'WACC &amp; EV'!$B$2</definedName>
    <definedName name="ev">'WACC &amp; EV'!$B$3</definedName>
    <definedName name="netdebt">'WACC &amp; EV'!$B$4</definedName>
    <definedName name="beta_l">'WACC &amp; EV'!$B$5</definedName>
    <definedName name="ke">'WACC &amp; EV'!$B$6</definedName>
    <definedName name="wacc">'WACC &amp; EV'!$B$7</definedName>
    <definedName name="wacc_use">'WACC &amp; EV'!$B$8</definedName>
    <definedName name="fcf_sbc0">'WACC &amp; EV'!$B$11</definedName>
    <definedName name="rev_ttm">'WACC &amp; EV'!$B$12</definedName>
    <definedName name="pvtv">'FCF fade'!$B$8</definedName>
    <definedName name="ev_model">'FCF fade'!$B$9</definedName>
    <definedName name="vps_try">'FCF fade'!$B$10</definedName>
    <definedName name="fcf_0">'WACC &amp; EV'!$B$9</definedName>
    <definedName name="sbc_0">'WACC &amp; EV'!$B$10</definedName>
    <definedName name="pv_10">'FCF fade'!$B$7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</font>
    <font>
      <name val="Calibri"/>
      <b val="1"/>
      <color rgb="000B5D7A"/>
      <sz val="14"/>
    </font>
  </fonts>
  <fills count="4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4" fontId="2" fillId="3" borderId="0" pivotButton="0" quotePrefix="0" xfId="0"/>
    <xf numFmtId="0" fontId="2" fillId="3" borderId="0" pivotButton="0" quotePrefix="0" xfId="0"/>
    <xf numFmtId="10" fontId="2" fillId="3" borderId="0" pivotButton="0" quotePrefix="0" xfId="0"/>
    <xf numFmtId="2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โมเดล ServiceNow (NOW) ณ วันตัดข้อมูล</t>
        </is>
      </c>
    </row>
    <row r="2">
      <c r="A2" s="2" t="inlineStr">
        <is>
          <t>EV, WACC และมูลค่าจาก FCF ที่ชะลอการเติบโตเป็นเส้นตรงสู่ 3% ใน 10 ปี ทั้งก่อนและหลังหัก SBC พร้อมเซลล์สำหรับ Goal Seek</t>
        </is>
      </c>
    </row>
    <row r="3">
      <c r="A3" s="2" t="inlineStr">
        <is>
          <t>บทที่เกี่ยวข้อง: บทที่ 25, 27, Case Lab ภาค 6 และบทที่ 59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ข้อมูล ณ จุดตัดของหนังสือ: งบ FY2025 + งบระหว่างกาลไตรมาส 2 ปี 2026 · ราคาปิด 2026-09-30 ข้อมูลราคาและงบการเงินเปลี่ยนแปลงหลังการตีพิมพ์</t>
        </is>
      </c>
    </row>
    <row r="13">
      <c r="A13" s="2" t="inlineStr">
        <is>
          <t>สมมติฐานในโมเดลเป็นของผู้เขียน เมื่อคุณเห็นต่าง ให้เปลี่ยนในแผ่น Inputs และบันทึกเหตุผลในช่อง 5 ของ Thesis Canvas</t>
        </is>
      </c>
    </row>
    <row r="14">
      <c r="A14" s="2" t="inlineStr"/>
    </row>
    <row r="15">
      <c r="A15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4" t="inlineStr">
        <is>
          <t>รายการ</t>
        </is>
      </c>
      <c r="B1" s="4" t="inlineStr">
        <is>
          <t>ค่า</t>
        </is>
      </c>
      <c r="C1" s="4" t="inlineStr">
        <is>
          <t>หน่วย</t>
        </is>
      </c>
      <c r="D1" s="4" t="inlineStr">
        <is>
          <t>งวด</t>
        </is>
      </c>
      <c r="E1" s="4" t="inlineStr">
        <is>
          <t>แหล่ง</t>
        </is>
      </c>
      <c r="F1" s="4" t="inlineStr">
        <is>
          <t>หน้า/แถว/หมายเหตุ</t>
        </is>
      </c>
    </row>
    <row r="2">
      <c r="A2" t="inlineStr">
        <is>
          <t>ราคาปิด</t>
        </is>
      </c>
      <c r="B2" s="5" t="n">
        <v>134.01</v>
      </c>
      <c r="C2" t="inlineStr">
        <is>
          <t>USD</t>
        </is>
      </c>
      <c r="D2" t="inlineStr">
        <is>
          <t>2026-09-30</t>
        </is>
      </c>
      <c r="E2" t="inlineStr">
        <is>
          <t>NYSE ผ่าน Nasdaq</t>
        </is>
      </c>
      <c r="F2" t="inlineStr">
        <is>
          <t>data/market/freeze-2026-09-30.csv</t>
        </is>
      </c>
    </row>
    <row r="3">
      <c r="A3" t="inlineStr">
        <is>
          <t>หุ้น (ประมาณ)</t>
        </is>
      </c>
      <c r="B3" s="6" t="n">
        <v>1034</v>
      </c>
      <c r="C3" t="inlineStr">
        <is>
          <t>ล้านหุ้น</t>
        </is>
      </c>
      <c r="D3" t="inlineStr">
        <is>
          <t>2026-06-30</t>
        </is>
      </c>
      <c r="E3" t="inlineStr">
        <is>
          <t>ServiceNow Form 10-Q Q2 2026</t>
        </is>
      </c>
      <c r="F3" t="inlineStr">
        <is>
          <t>หน้าปก</t>
        </is>
      </c>
    </row>
    <row r="4">
      <c r="A4" t="inlineStr">
        <is>
          <t>หนี้: หุ้นกู้ 5,435 + ตั๋วเงิน 2,082</t>
        </is>
      </c>
      <c r="B4" s="6" t="n">
        <v>7517</v>
      </c>
      <c r="C4" t="inlineStr">
        <is>
          <t>ล้าน USD</t>
        </is>
      </c>
      <c r="D4" t="inlineStr">
        <is>
          <t>2026-06-30</t>
        </is>
      </c>
      <c r="E4" t="inlineStr">
        <is>
          <t>ServiceNow Form 10-Q Q2 2026</t>
        </is>
      </c>
      <c r="F4" t="inlineStr">
        <is>
          <t>หน้า 19</t>
        </is>
      </c>
    </row>
    <row r="5">
      <c r="A5" t="inlineStr">
        <is>
          <t>เงินสดและหลักทรัพย์ 2,503 + 2,161 + 2,043</t>
        </is>
      </c>
      <c r="B5" s="6" t="n">
        <v>6707</v>
      </c>
      <c r="C5" t="inlineStr">
        <is>
          <t>ล้าน USD</t>
        </is>
      </c>
      <c r="D5" t="inlineStr">
        <is>
          <t>2026-06-30</t>
        </is>
      </c>
      <c r="E5" t="inlineStr">
        <is>
          <t>ServiceNow Form 10-Q Q2 2026</t>
        </is>
      </c>
      <c r="F5" t="inlineStr">
        <is>
          <t>หน้า 1</t>
        </is>
      </c>
    </row>
    <row r="6">
      <c r="A6" t="inlineStr">
        <is>
          <t>กระแสเงินสดจากการดำเนินงาน — FY2025</t>
        </is>
      </c>
      <c r="B6" s="6" t="n">
        <v>5444</v>
      </c>
      <c r="C6" t="inlineStr">
        <is>
          <t>ล้าน USD</t>
        </is>
      </c>
      <c r="D6" t="inlineStr">
        <is>
          <t>FY2025</t>
        </is>
      </c>
      <c r="E6" t="inlineStr">
        <is>
          <t>ServiceNow Form 10-K FY2025</t>
        </is>
      </c>
      <c r="F6" t="inlineStr">
        <is>
          <t>หน้า 73</t>
        </is>
      </c>
    </row>
    <row r="7">
      <c r="A7" t="inlineStr">
        <is>
          <t>กระแสเงินสดจากการดำเนินงาน — H1 2026</t>
        </is>
      </c>
      <c r="B7" s="6" t="n">
        <v>2257</v>
      </c>
      <c r="C7" t="inlineStr">
        <is>
          <t>ล้าน USD</t>
        </is>
      </c>
      <c r="D7" t="inlineStr">
        <is>
          <t>H1 2026</t>
        </is>
      </c>
      <c r="E7" t="inlineStr">
        <is>
          <t>ServiceNow Form 10-Q Q2 2026</t>
        </is>
      </c>
      <c r="F7" t="inlineStr">
        <is>
          <t>หน้า 7</t>
        </is>
      </c>
    </row>
    <row r="8">
      <c r="A8" t="inlineStr">
        <is>
          <t>กระแสเงินสดจากการดำเนินงาน — H1 2025</t>
        </is>
      </c>
      <c r="B8" s="6" t="n">
        <v>2393</v>
      </c>
      <c r="C8" t="inlineStr">
        <is>
          <t>ล้าน USD</t>
        </is>
      </c>
      <c r="D8" t="inlineStr">
        <is>
          <t>H1 2025</t>
        </is>
      </c>
      <c r="E8" t="inlineStr">
        <is>
          <t>ServiceNow Form 10-Q Q2 2026</t>
        </is>
      </c>
      <c r="F8" t="inlineStr">
        <is>
          <t>หน้า 7</t>
        </is>
      </c>
    </row>
    <row r="9">
      <c r="A9" t="inlineStr">
        <is>
          <t>รายจ่ายลงทุน — FY2025</t>
        </is>
      </c>
      <c r="B9" s="6" t="n">
        <v>868</v>
      </c>
      <c r="C9" t="inlineStr">
        <is>
          <t>ล้าน USD</t>
        </is>
      </c>
      <c r="D9" t="inlineStr">
        <is>
          <t>FY2025</t>
        </is>
      </c>
      <c r="E9" t="inlineStr">
        <is>
          <t>ServiceNow Form 10-K FY2025</t>
        </is>
      </c>
      <c r="F9" t="inlineStr">
        <is>
          <t>หน้า 73</t>
        </is>
      </c>
    </row>
    <row r="10">
      <c r="A10" t="inlineStr">
        <is>
          <t>รายจ่ายลงทุน — H1 2026</t>
        </is>
      </c>
      <c r="B10" s="6" t="n">
        <v>255</v>
      </c>
      <c r="C10" t="inlineStr">
        <is>
          <t>ล้าน USD</t>
        </is>
      </c>
      <c r="D10" t="inlineStr">
        <is>
          <t>H1 2026</t>
        </is>
      </c>
      <c r="E10" t="inlineStr">
        <is>
          <t>ServiceNow Form 10-Q Q2 2026</t>
        </is>
      </c>
      <c r="F10" t="inlineStr">
        <is>
          <t>หน้า 7</t>
        </is>
      </c>
    </row>
    <row r="11">
      <c r="A11" t="inlineStr">
        <is>
          <t>รายจ่ายลงทุน — H1 2025</t>
        </is>
      </c>
      <c r="B11" s="6" t="n">
        <v>395</v>
      </c>
      <c r="C11" t="inlineStr">
        <is>
          <t>ล้าน USD</t>
        </is>
      </c>
      <c r="D11" t="inlineStr">
        <is>
          <t>H1 2025</t>
        </is>
      </c>
      <c r="E11" t="inlineStr">
        <is>
          <t>ServiceNow Form 10-Q Q2 2026</t>
        </is>
      </c>
      <c r="F11" t="inlineStr">
        <is>
          <t>หน้า 7</t>
        </is>
      </c>
    </row>
    <row r="12">
      <c r="A12" t="inlineStr">
        <is>
          <t>ค่าตอบแทนที่จ่ายเป็นหุ้น — FY2025</t>
        </is>
      </c>
      <c r="B12" s="6" t="n">
        <v>1955</v>
      </c>
      <c r="C12" t="inlineStr">
        <is>
          <t>ล้าน USD</t>
        </is>
      </c>
      <c r="D12" t="inlineStr">
        <is>
          <t>FY2025</t>
        </is>
      </c>
      <c r="E12" t="inlineStr">
        <is>
          <t>ServiceNow Form 10-K FY2025</t>
        </is>
      </c>
      <c r="F12" t="inlineStr">
        <is>
          <t>หน้า 73</t>
        </is>
      </c>
    </row>
    <row r="13">
      <c r="A13" t="inlineStr">
        <is>
          <t>ค่าตอบแทนที่จ่ายเป็นหุ้น — H1 2026</t>
        </is>
      </c>
      <c r="B13" s="6" t="n">
        <v>1199</v>
      </c>
      <c r="C13" t="inlineStr">
        <is>
          <t>ล้าน USD</t>
        </is>
      </c>
      <c r="D13" t="inlineStr">
        <is>
          <t>H1 2026</t>
        </is>
      </c>
      <c r="E13" t="inlineStr">
        <is>
          <t>ServiceNow Form 10-Q Q2 2026</t>
        </is>
      </c>
      <c r="F13" t="inlineStr">
        <is>
          <t>หน้า 7</t>
        </is>
      </c>
    </row>
    <row r="14">
      <c r="A14" t="inlineStr">
        <is>
          <t>ค่าตอบแทนที่จ่ายเป็นหุ้น — H1 2025</t>
        </is>
      </c>
      <c r="B14" s="6" t="n">
        <v>969</v>
      </c>
      <c r="C14" t="inlineStr">
        <is>
          <t>ล้าน USD</t>
        </is>
      </c>
      <c r="D14" t="inlineStr">
        <is>
          <t>H1 2025</t>
        </is>
      </c>
      <c r="E14" t="inlineStr">
        <is>
          <t>ServiceNow Form 10-Q Q2 2026</t>
        </is>
      </c>
      <c r="F14" t="inlineStr">
        <is>
          <t>หน้า 7</t>
        </is>
      </c>
    </row>
    <row r="15">
      <c r="A15" t="inlineStr">
        <is>
          <t>รายได้ — FY2025</t>
        </is>
      </c>
      <c r="B15" s="6" t="n">
        <v>13278</v>
      </c>
      <c r="C15" t="inlineStr">
        <is>
          <t>ล้าน USD</t>
        </is>
      </c>
      <c r="D15" t="inlineStr">
        <is>
          <t>FY2025</t>
        </is>
      </c>
      <c r="E15" t="inlineStr">
        <is>
          <t>ServiceNow Form 10-K FY2025</t>
        </is>
      </c>
      <c r="F15" t="inlineStr">
        <is>
          <t>หน้า 71</t>
        </is>
      </c>
    </row>
    <row r="16">
      <c r="A16" t="inlineStr">
        <is>
          <t>รายได้ — H1 2026</t>
        </is>
      </c>
      <c r="B16" s="6" t="n">
        <v>7757</v>
      </c>
      <c r="C16" t="inlineStr">
        <is>
          <t>ล้าน USD</t>
        </is>
      </c>
      <c r="D16" t="inlineStr">
        <is>
          <t>H1 2026</t>
        </is>
      </c>
      <c r="E16" t="inlineStr">
        <is>
          <t>ServiceNow Form 10-Q Q2 2026</t>
        </is>
      </c>
      <c r="F16" t="inlineStr">
        <is>
          <t>หน้า 3</t>
        </is>
      </c>
    </row>
    <row r="17">
      <c r="A17" t="inlineStr">
        <is>
          <t>รายได้ — H1 2025</t>
        </is>
      </c>
      <c r="B17" s="6" t="n">
        <v>6303</v>
      </c>
      <c r="C17" t="inlineStr">
        <is>
          <t>ล้าน USD</t>
        </is>
      </c>
      <c r="D17" t="inlineStr">
        <is>
          <t>H1 2025</t>
        </is>
      </c>
      <c r="E17" t="inlineStr">
        <is>
          <t>ServiceNow Form 10-Q Q2 2026</t>
        </is>
      </c>
      <c r="F17" t="inlineStr">
        <is>
          <t>หน้า 3</t>
        </is>
      </c>
    </row>
    <row r="18">
      <c r="A18" t="inlineStr">
        <is>
          <t>อัตราผลตอบแทนพันธบัตรรัฐบาลสหรัฐฯ 10 ปี</t>
        </is>
      </c>
      <c r="B18" s="7" t="n">
        <v>0.0529</v>
      </c>
      <c r="C18" t="inlineStr">
        <is>
          <t>ต่อปี</t>
        </is>
      </c>
      <c r="D18" t="inlineStr">
        <is>
          <t>2026-09-30</t>
        </is>
      </c>
      <c r="E18" t="inlineStr">
        <is>
          <t>US Treasury</t>
        </is>
      </c>
      <c r="F18" t="inlineStr">
        <is>
          <t>คอลัมน์ 10 Yr</t>
        </is>
      </c>
    </row>
    <row r="19">
      <c r="A19" t="inlineStr">
        <is>
          <t>ERP ตลาดพัฒนาแล้ว</t>
        </is>
      </c>
      <c r="B19" s="7" t="n">
        <v>0.042</v>
      </c>
      <c r="C19" t="inlineStr">
        <is>
          <t>ต่อปี</t>
        </is>
      </c>
      <c r="D19" t="inlineStr">
        <is>
          <t>กรกฎาคม 2026</t>
        </is>
      </c>
      <c r="E19" t="inlineStr">
        <is>
          <t>Damodaran ctrypremJuly26.xlsx</t>
        </is>
      </c>
      <c r="F19" t="inlineStr">
        <is>
          <t>แถว 3</t>
        </is>
      </c>
    </row>
    <row r="20">
      <c r="A20" t="inlineStr">
        <is>
          <t>เบตาไม่มีหนี้ ซอฟต์แวร์</t>
        </is>
      </c>
      <c r="B20" s="8" t="n">
        <v>1.23</v>
      </c>
      <c r="C20" t="inlineStr">
        <is>
          <t>เท่า</t>
        </is>
      </c>
      <c r="D20" t="inlineStr">
        <is>
          <t>มกราคม 2026</t>
        </is>
      </c>
      <c r="E20" t="inlineStr">
        <is>
          <t>Damodaran Betas.html</t>
        </is>
      </c>
      <c r="F20" t="inlineStr">
        <is>
          <t>Software (System &amp; Application)</t>
        </is>
      </c>
    </row>
    <row r="21">
      <c r="A21" t="inlineStr">
        <is>
          <t>อัตราภาษีตามกฎหมายของสหรัฐฯ</t>
        </is>
      </c>
      <c r="B21" s="9" t="n">
        <v>0.21</v>
      </c>
      <c r="C21" t="inlineStr">
        <is>
          <t>สัดส่วน</t>
        </is>
      </c>
      <c r="D21" t="inlineStr"/>
      <c r="E21" t="inlineStr">
        <is>
          <t>Coca-Cola Form 10-K FY2025</t>
        </is>
      </c>
      <c r="F21" t="inlineStr">
        <is>
          <t>หน้า 103</t>
        </is>
      </c>
    </row>
    <row r="22">
      <c r="A22" t="inlineStr">
        <is>
          <t>ต้นทุนหนี้ก่อนภาษี</t>
        </is>
      </c>
      <c r="B22" s="7" t="n">
        <v>0.0568</v>
      </c>
      <c r="C22" t="inlineStr">
        <is>
          <t>ต่อปี</t>
        </is>
      </c>
      <c r="D22" t="inlineStr"/>
      <c r="E22" t="inlineStr">
        <is>
          <t>ServiceNow Form 10-Q Q2 2026</t>
        </is>
      </c>
      <c r="F22" t="inlineStr">
        <is>
          <t>หน้า 19</t>
        </is>
      </c>
    </row>
    <row r="23">
      <c r="A23" t="inlineStr">
        <is>
          <t>การเติบโตปลายทาง</t>
        </is>
      </c>
      <c r="B23" s="7" t="n">
        <v>0.03</v>
      </c>
      <c r="C23" t="inlineStr">
        <is>
          <t>ต่อปี</t>
        </is>
      </c>
      <c r="D23" t="inlineStr"/>
      <c r="E23" t="inlineStr">
        <is>
          <t>ประมาณการโดยผู้เขียน</t>
        </is>
      </c>
      <c r="F23" t="inlineStr">
        <is>
          <t>Case Lab ภาค 6</t>
        </is>
      </c>
    </row>
    <row r="24">
      <c r="A24" t="inlineStr">
        <is>
          <t>การเติบโตปีแรก (เปลี่ยนเองหรือใช้ Goal Seek)</t>
        </is>
      </c>
      <c r="B24" s="9" t="n">
        <v>0.2</v>
      </c>
      <c r="C24" t="inlineStr">
        <is>
          <t>ต่อปี</t>
        </is>
      </c>
      <c r="D24" t="inlineStr"/>
      <c r="E24" t="inlineStr">
        <is>
          <t>ประมาณการโดยผู้เขียน</t>
        </is>
      </c>
      <c r="F24" t="inlineStr">
        <is>
          <t>Data › What-If › Goal Seek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4" t="inlineStr">
        <is>
          <t>รายการ</t>
        </is>
      </c>
      <c r="B1" s="4" t="inlineStr">
        <is>
          <t>ค่า</t>
        </is>
      </c>
      <c r="C1" s="4" t="inlineStr">
        <is>
          <t>หน่วย/หมายเหตุ</t>
        </is>
      </c>
    </row>
    <row r="2">
      <c r="A2" t="inlineStr">
        <is>
          <t>มูลค่าตลาดของส่วนของผู้ถือหุ้น</t>
        </is>
      </c>
      <c r="B2" s="10">
        <f>price*sh</f>
        <v/>
      </c>
    </row>
    <row r="3">
      <c r="A3" t="inlineStr">
        <is>
          <t>EV = มูลค่าตลาด + หนี้ − เงินสด</t>
        </is>
      </c>
      <c r="B3" s="10">
        <f>mcap+debt-cash</f>
        <v/>
      </c>
    </row>
    <row r="4">
      <c r="A4" t="inlineStr">
        <is>
          <t>หนี้สุทธิ</t>
        </is>
      </c>
      <c r="B4" s="10">
        <f>debt-cash</f>
        <v/>
      </c>
    </row>
    <row r="5">
      <c r="A5" t="inlineStr">
        <is>
          <t>เบตามีหนี้</t>
        </is>
      </c>
      <c r="B5" s="11">
        <f>beta_u*(1+(1-tax_us)*debt/mcap)</f>
        <v/>
      </c>
    </row>
    <row r="6">
      <c r="A6" t="inlineStr">
        <is>
          <t>ke</t>
        </is>
      </c>
      <c r="B6" s="12">
        <f>rf+beta_l*erp</f>
        <v/>
      </c>
    </row>
    <row r="7">
      <c r="A7" t="inlineStr">
        <is>
          <t>WACC (คำนวณ)</t>
        </is>
      </c>
      <c r="B7" s="12">
        <f>mcap/(mcap+debt)*ke+debt/(mcap+debt)*kd*(1-tax_us)</f>
        <v/>
      </c>
    </row>
    <row r="8">
      <c r="A8" t="inlineStr">
        <is>
          <t>WACC ที่ใช้ (ปัดเป็น 10.4% ตามบทที่ 27)</t>
        </is>
      </c>
      <c r="B8" s="12">
        <f>ROUND(wacc,3)</f>
        <v/>
      </c>
    </row>
    <row r="9">
      <c r="A9" t="inlineStr">
        <is>
          <t>FCF TTM = CFO − Capex</t>
        </is>
      </c>
      <c r="B9" s="10">
        <f>(cfo_fy+cfo_h26-cfo_h25)-(capex_fy+capex_h26-capex_h25)</f>
        <v/>
      </c>
    </row>
    <row r="10">
      <c r="A10" t="inlineStr">
        <is>
          <t>SBC TTM</t>
        </is>
      </c>
      <c r="B10" s="10">
        <f>sbc_fy+sbc_h26-sbc_h25</f>
        <v/>
      </c>
    </row>
    <row r="11">
      <c r="A11" t="inlineStr">
        <is>
          <t>FCF − SBC TTM</t>
        </is>
      </c>
      <c r="B11" s="10">
        <f>fcf_0-sbc_0</f>
        <v/>
      </c>
    </row>
    <row r="12">
      <c r="A12" t="inlineStr">
        <is>
          <t>รายได้ TTM</t>
        </is>
      </c>
      <c r="B12" s="10">
        <f>rev_fy+rev_h26-rev_h25</f>
        <v/>
      </c>
    </row>
    <row r="13">
      <c r="A13" t="inlineStr">
        <is>
          <t>SBC ÷ รายได้ TTM</t>
        </is>
      </c>
      <c r="B13" s="13">
        <f>sbc_0/rev_ttm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4" t="inlineStr">
        <is>
          <t>รายการ</t>
        </is>
      </c>
      <c r="B1" s="4" t="inlineStr">
        <is>
          <t>ปี 1</t>
        </is>
      </c>
      <c r="C1" s="4" t="inlineStr">
        <is>
          <t>ปี 2</t>
        </is>
      </c>
      <c r="D1" s="4" t="inlineStr">
        <is>
          <t>ปี 3</t>
        </is>
      </c>
      <c r="E1" s="4" t="inlineStr">
        <is>
          <t>ปี 4</t>
        </is>
      </c>
      <c r="F1" s="4" t="inlineStr">
        <is>
          <t>ปี 5</t>
        </is>
      </c>
      <c r="G1" s="4" t="inlineStr">
        <is>
          <t>ปี 6</t>
        </is>
      </c>
      <c r="H1" s="4" t="inlineStr">
        <is>
          <t>ปี 7</t>
        </is>
      </c>
      <c r="I1" s="4" t="inlineStr">
        <is>
          <t>ปี 8</t>
        </is>
      </c>
      <c r="J1" s="4" t="inlineStr">
        <is>
          <t>ปี 9</t>
        </is>
      </c>
      <c r="K1" s="4" t="inlineStr">
        <is>
          <t>ปี 10</t>
        </is>
      </c>
    </row>
    <row r="2">
      <c r="A2" t="inlineStr">
        <is>
          <t>ปี t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การเติบโต g_t = g1 − (g1 − g) × (t − 1) ÷ 9</t>
        </is>
      </c>
      <c r="B3" s="13">
        <f>g1_try-(g1_try-gt)*(B2-1)/9</f>
        <v/>
      </c>
      <c r="C3" s="13">
        <f>g1_try-(g1_try-gt)*(C2-1)/9</f>
        <v/>
      </c>
      <c r="D3" s="13">
        <f>g1_try-(g1_try-gt)*(D2-1)/9</f>
        <v/>
      </c>
      <c r="E3" s="13">
        <f>g1_try-(g1_try-gt)*(E2-1)/9</f>
        <v/>
      </c>
      <c r="F3" s="13">
        <f>g1_try-(g1_try-gt)*(F2-1)/9</f>
        <v/>
      </c>
      <c r="G3" s="13">
        <f>g1_try-(g1_try-gt)*(G2-1)/9</f>
        <v/>
      </c>
      <c r="H3" s="13">
        <f>g1_try-(g1_try-gt)*(H2-1)/9</f>
        <v/>
      </c>
      <c r="I3" s="13">
        <f>g1_try-(g1_try-gt)*(I2-1)/9</f>
        <v/>
      </c>
      <c r="J3" s="13">
        <f>g1_try-(g1_try-gt)*(J2-1)/9</f>
        <v/>
      </c>
      <c r="K3" s="13">
        <f>g1_try-(g1_try-gt)*(K2-1)/9</f>
        <v/>
      </c>
    </row>
    <row r="4">
      <c r="A4" t="inlineStr">
        <is>
          <t>FCF − SBC</t>
        </is>
      </c>
      <c r="B4" s="10">
        <f>fcf_sbc0*(1+B3)</f>
        <v/>
      </c>
      <c r="C4" s="10">
        <f>B4*(1+C3)</f>
        <v/>
      </c>
      <c r="D4" s="10">
        <f>C4*(1+D3)</f>
        <v/>
      </c>
      <c r="E4" s="10">
        <f>D4*(1+E3)</f>
        <v/>
      </c>
      <c r="F4" s="10">
        <f>E4*(1+F3)</f>
        <v/>
      </c>
      <c r="G4" s="10">
        <f>F4*(1+G3)</f>
        <v/>
      </c>
      <c r="H4" s="10">
        <f>G4*(1+H3)</f>
        <v/>
      </c>
      <c r="I4" s="10">
        <f>H4*(1+I3)</f>
        <v/>
      </c>
      <c r="J4" s="10">
        <f>I4*(1+J3)</f>
        <v/>
      </c>
      <c r="K4" s="10">
        <f>J4*(1+K3)</f>
        <v/>
      </c>
    </row>
    <row r="5">
      <c r="A5" t="inlineStr">
        <is>
          <t>มูลค่าปัจจุบัน</t>
        </is>
      </c>
      <c r="B5" s="10">
        <f>B4/(1+wacc_use)^B2</f>
        <v/>
      </c>
      <c r="C5" s="10">
        <f>C4/(1+wacc_use)^C2</f>
        <v/>
      </c>
      <c r="D5" s="10">
        <f>D4/(1+wacc_use)^D2</f>
        <v/>
      </c>
      <c r="E5" s="10">
        <f>E4/(1+wacc_use)^E2</f>
        <v/>
      </c>
      <c r="F5" s="10">
        <f>F4/(1+wacc_use)^F2</f>
        <v/>
      </c>
      <c r="G5" s="10">
        <f>G4/(1+wacc_use)^G2</f>
        <v/>
      </c>
      <c r="H5" s="10">
        <f>H4/(1+wacc_use)^H2</f>
        <v/>
      </c>
      <c r="I5" s="10">
        <f>I4/(1+wacc_use)^I2</f>
        <v/>
      </c>
      <c r="J5" s="10">
        <f>J4/(1+wacc_use)^J2</f>
        <v/>
      </c>
      <c r="K5" s="10">
        <f>K4/(1+wacc_use)^K2</f>
        <v/>
      </c>
    </row>
    <row r="6"/>
    <row r="7">
      <c r="A7" t="inlineStr">
        <is>
          <t>PV สิบปี</t>
        </is>
      </c>
      <c r="B7" s="10">
        <f>SUM(B5:K5)</f>
        <v/>
      </c>
    </row>
    <row r="8">
      <c r="A8" t="inlineStr">
        <is>
          <t>TV ปีที่ 10 คิดลด</t>
        </is>
      </c>
      <c r="B8" s="10">
        <f>K4*(1+gt)/(wacc_use-gt)/(1+wacc_use)^10</f>
        <v/>
      </c>
    </row>
    <row r="9">
      <c r="A9" t="inlineStr">
        <is>
          <t>EV จาก FCF − SBC</t>
        </is>
      </c>
      <c r="B9" s="10">
        <f>pv_10+pvtv</f>
        <v/>
      </c>
    </row>
    <row r="10">
      <c r="A10" t="inlineStr">
        <is>
          <t>มูลค่าต่อหุ้น</t>
        </is>
      </c>
      <c r="B10" s="14">
        <f>(ev_model-netdebt)/sh</f>
        <v/>
      </c>
    </row>
    <row r="11">
      <c r="A11" t="inlineStr">
        <is>
          <t>Goal Seek: ตั้งเซลล์นี้เป็น 0 โดยเปลี่ยน g1 ในแผ่น Inputs</t>
        </is>
      </c>
      <c r="B11" s="10">
        <f>ev_model-ev</f>
        <v/>
      </c>
    </row>
    <row r="12"/>
    <row r="13">
      <c r="A13" t="inlineStr">
        <is>
          <t>ผลลัพธ์ของ Goal Seek คือการเติบโตปีแรกที่ราคาวันนี้สะท้อน (reverse DCF) ไม่ใช่การคาดการณ์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มูลค่าต่อหุ้นบน FCF − SBC: การเติบโตปีแรก (แถว) × WACC (คอลัมน์)</t>
        </is>
      </c>
      <c r="B1" s="4" t="inlineStr">
        <is>
          <t>9.4%</t>
        </is>
      </c>
      <c r="C1" s="4" t="inlineStr">
        <is>
          <t>10.4%</t>
        </is>
      </c>
      <c r="D1" s="4" t="inlineStr">
        <is>
          <t>11.4%</t>
        </is>
      </c>
    </row>
    <row r="2">
      <c r="B2" s="15" t="n">
        <v>0.094</v>
      </c>
      <c r="C2" s="15" t="n">
        <v>0.104</v>
      </c>
      <c r="D2" s="15" t="n">
        <v>0.114</v>
      </c>
    </row>
    <row r="3">
      <c r="A3" s="15" t="n">
        <v>0.15</v>
      </c>
      <c r="B3" s="14">
        <f>(fcf_sbc0*(1+($A3-($A3-gt)*0/9))/(1+B$2)^1+fcf_sbc0*(1+($A3-($A3-gt)*0/9))*(1+($A3-($A3-gt)*1/9))/(1+B$2)^2+fcf_sbc0*(1+($A3-($A3-gt)*0/9))*(1+($A3-($A3-gt)*1/9))*(1+($A3-($A3-gt)*2/9))/(1+B$2)^3+fcf_sbc0*(1+($A3-($A3-gt)*0/9))*(1+($A3-($A3-gt)*1/9))*(1+($A3-($A3-gt)*2/9))*(1+($A3-($A3-gt)*3/9))/(1+B$2)^4+fcf_sbc0*(1+($A3-($A3-gt)*0/9))*(1+($A3-($A3-gt)*1/9))*(1+($A3-($A3-gt)*2/9))*(1+($A3-($A3-gt)*3/9))*(1+($A3-($A3-gt)*4/9))/(1+B$2)^5+fcf_sbc0*(1+($A3-($A3-gt)*0/9))*(1+($A3-($A3-gt)*1/9))*(1+($A3-($A3-gt)*2/9))*(1+($A3-($A3-gt)*3/9))*(1+($A3-($A3-gt)*4/9))*(1+($A3-($A3-gt)*5/9))/(1+B$2)^6+fcf_sbc0*(1+($A3-($A3-gt)*0/9))*(1+($A3-($A3-gt)*1/9))*(1+($A3-($A3-gt)*2/9))*(1+($A3-($A3-gt)*3/9))*(1+($A3-($A3-gt)*4/9))*(1+($A3-($A3-gt)*5/9))*(1+($A3-($A3-gt)*6/9))/(1+B$2)^7+fcf_sbc0*(1+($A3-($A3-gt)*0/9))*(1+($A3-($A3-gt)*1/9))*(1+($A3-($A3-gt)*2/9))*(1+($A3-($A3-gt)*3/9))*(1+($A3-($A3-gt)*4/9))*(1+($A3-($A3-gt)*5/9))*(1+($A3-($A3-gt)*6/9))*(1+($A3-($A3-gt)*7/9))/(1+B$2)^8+fcf_sbc0*(1+($A3-($A3-gt)*0/9))*(1+($A3-($A3-gt)*1/9))*(1+($A3-($A3-gt)*2/9))*(1+($A3-($A3-gt)*3/9))*(1+($A3-($A3-gt)*4/9))*(1+($A3-($A3-gt)*5/9))*(1+($A3-($A3-gt)*6/9))*(1+($A3-($A3-gt)*7/9))*(1+($A3-($A3-gt)*8/9))/(1+B$2)^9+fcf_sbc0*(1+($A3-($A3-gt)*0/9))*(1+($A3-($A3-gt)*1/9))*(1+($A3-($A3-gt)*2/9))*(1+($A3-($A3-gt)*3/9))*(1+($A3-($A3-gt)*4/9))*(1+($A3-($A3-gt)*5/9))*(1+($A3-($A3-gt)*6/9))*(1+($A3-($A3-gt)*7/9))*(1+($A3-($A3-gt)*8/9))*(1+($A3-($A3-gt)*9/9))/(1+B$2)^10+fcf_sbc0*(1+($A3-($A3-gt)*0/9))*(1+($A3-($A3-gt)*1/9))*(1+($A3-($A3-gt)*2/9))*(1+($A3-($A3-gt)*3/9))*(1+($A3-($A3-gt)*4/9))*(1+($A3-($A3-gt)*5/9))*(1+($A3-($A3-gt)*6/9))*(1+($A3-($A3-gt)*7/9))*(1+($A3-($A3-gt)*8/9))*(1+($A3-($A3-gt)*9/9))*(1+gt)/(B$2-gt)/(1+B$2)^10-netdebt)/sh</f>
        <v/>
      </c>
      <c r="C3" s="14">
        <f>(fcf_sbc0*(1+($A3-($A3-gt)*0/9))/(1+C$2)^1+fcf_sbc0*(1+($A3-($A3-gt)*0/9))*(1+($A3-($A3-gt)*1/9))/(1+C$2)^2+fcf_sbc0*(1+($A3-($A3-gt)*0/9))*(1+($A3-($A3-gt)*1/9))*(1+($A3-($A3-gt)*2/9))/(1+C$2)^3+fcf_sbc0*(1+($A3-($A3-gt)*0/9))*(1+($A3-($A3-gt)*1/9))*(1+($A3-($A3-gt)*2/9))*(1+($A3-($A3-gt)*3/9))/(1+C$2)^4+fcf_sbc0*(1+($A3-($A3-gt)*0/9))*(1+($A3-($A3-gt)*1/9))*(1+($A3-($A3-gt)*2/9))*(1+($A3-($A3-gt)*3/9))*(1+($A3-($A3-gt)*4/9))/(1+C$2)^5+fcf_sbc0*(1+($A3-($A3-gt)*0/9))*(1+($A3-($A3-gt)*1/9))*(1+($A3-($A3-gt)*2/9))*(1+($A3-($A3-gt)*3/9))*(1+($A3-($A3-gt)*4/9))*(1+($A3-($A3-gt)*5/9))/(1+C$2)^6+fcf_sbc0*(1+($A3-($A3-gt)*0/9))*(1+($A3-($A3-gt)*1/9))*(1+($A3-($A3-gt)*2/9))*(1+($A3-($A3-gt)*3/9))*(1+($A3-($A3-gt)*4/9))*(1+($A3-($A3-gt)*5/9))*(1+($A3-($A3-gt)*6/9))/(1+C$2)^7+fcf_sbc0*(1+($A3-($A3-gt)*0/9))*(1+($A3-($A3-gt)*1/9))*(1+($A3-($A3-gt)*2/9))*(1+($A3-($A3-gt)*3/9))*(1+($A3-($A3-gt)*4/9))*(1+($A3-($A3-gt)*5/9))*(1+($A3-($A3-gt)*6/9))*(1+($A3-($A3-gt)*7/9))/(1+C$2)^8+fcf_sbc0*(1+($A3-($A3-gt)*0/9))*(1+($A3-($A3-gt)*1/9))*(1+($A3-($A3-gt)*2/9))*(1+($A3-($A3-gt)*3/9))*(1+($A3-($A3-gt)*4/9))*(1+($A3-($A3-gt)*5/9))*(1+($A3-($A3-gt)*6/9))*(1+($A3-($A3-gt)*7/9))*(1+($A3-($A3-gt)*8/9))/(1+C$2)^9+fcf_sbc0*(1+($A3-($A3-gt)*0/9))*(1+($A3-($A3-gt)*1/9))*(1+($A3-($A3-gt)*2/9))*(1+($A3-($A3-gt)*3/9))*(1+($A3-($A3-gt)*4/9))*(1+($A3-($A3-gt)*5/9))*(1+($A3-($A3-gt)*6/9))*(1+($A3-($A3-gt)*7/9))*(1+($A3-($A3-gt)*8/9))*(1+($A3-($A3-gt)*9/9))/(1+C$2)^10+fcf_sbc0*(1+($A3-($A3-gt)*0/9))*(1+($A3-($A3-gt)*1/9))*(1+($A3-($A3-gt)*2/9))*(1+($A3-($A3-gt)*3/9))*(1+($A3-($A3-gt)*4/9))*(1+($A3-($A3-gt)*5/9))*(1+($A3-($A3-gt)*6/9))*(1+($A3-($A3-gt)*7/9))*(1+($A3-($A3-gt)*8/9))*(1+($A3-($A3-gt)*9/9))*(1+gt)/(C$2-gt)/(1+C$2)^10-netdebt)/sh</f>
        <v/>
      </c>
      <c r="D3" s="14">
        <f>(fcf_sbc0*(1+($A3-($A3-gt)*0/9))/(1+D$2)^1+fcf_sbc0*(1+($A3-($A3-gt)*0/9))*(1+($A3-($A3-gt)*1/9))/(1+D$2)^2+fcf_sbc0*(1+($A3-($A3-gt)*0/9))*(1+($A3-($A3-gt)*1/9))*(1+($A3-($A3-gt)*2/9))/(1+D$2)^3+fcf_sbc0*(1+($A3-($A3-gt)*0/9))*(1+($A3-($A3-gt)*1/9))*(1+($A3-($A3-gt)*2/9))*(1+($A3-($A3-gt)*3/9))/(1+D$2)^4+fcf_sbc0*(1+($A3-($A3-gt)*0/9))*(1+($A3-($A3-gt)*1/9))*(1+($A3-($A3-gt)*2/9))*(1+($A3-($A3-gt)*3/9))*(1+($A3-($A3-gt)*4/9))/(1+D$2)^5+fcf_sbc0*(1+($A3-($A3-gt)*0/9))*(1+($A3-($A3-gt)*1/9))*(1+($A3-($A3-gt)*2/9))*(1+($A3-($A3-gt)*3/9))*(1+($A3-($A3-gt)*4/9))*(1+($A3-($A3-gt)*5/9))/(1+D$2)^6+fcf_sbc0*(1+($A3-($A3-gt)*0/9))*(1+($A3-($A3-gt)*1/9))*(1+($A3-($A3-gt)*2/9))*(1+($A3-($A3-gt)*3/9))*(1+($A3-($A3-gt)*4/9))*(1+($A3-($A3-gt)*5/9))*(1+($A3-($A3-gt)*6/9))/(1+D$2)^7+fcf_sbc0*(1+($A3-($A3-gt)*0/9))*(1+($A3-($A3-gt)*1/9))*(1+($A3-($A3-gt)*2/9))*(1+($A3-($A3-gt)*3/9))*(1+($A3-($A3-gt)*4/9))*(1+($A3-($A3-gt)*5/9))*(1+($A3-($A3-gt)*6/9))*(1+($A3-($A3-gt)*7/9))/(1+D$2)^8+fcf_sbc0*(1+($A3-($A3-gt)*0/9))*(1+($A3-($A3-gt)*1/9))*(1+($A3-($A3-gt)*2/9))*(1+($A3-($A3-gt)*3/9))*(1+($A3-($A3-gt)*4/9))*(1+($A3-($A3-gt)*5/9))*(1+($A3-($A3-gt)*6/9))*(1+($A3-($A3-gt)*7/9))*(1+($A3-($A3-gt)*8/9))/(1+D$2)^9+fcf_sbc0*(1+($A3-($A3-gt)*0/9))*(1+($A3-($A3-gt)*1/9))*(1+($A3-($A3-gt)*2/9))*(1+($A3-($A3-gt)*3/9))*(1+($A3-($A3-gt)*4/9))*(1+($A3-($A3-gt)*5/9))*(1+($A3-($A3-gt)*6/9))*(1+($A3-($A3-gt)*7/9))*(1+($A3-($A3-gt)*8/9))*(1+($A3-($A3-gt)*9/9))/(1+D$2)^10+fcf_sbc0*(1+($A3-($A3-gt)*0/9))*(1+($A3-($A3-gt)*1/9))*(1+($A3-($A3-gt)*2/9))*(1+($A3-($A3-gt)*3/9))*(1+($A3-($A3-gt)*4/9))*(1+($A3-($A3-gt)*5/9))*(1+($A3-($A3-gt)*6/9))*(1+($A3-($A3-gt)*7/9))*(1+($A3-($A3-gt)*8/9))*(1+($A3-($A3-gt)*9/9))*(1+gt)/(D$2-gt)/(1+D$2)^10-netdebt)/sh</f>
        <v/>
      </c>
    </row>
    <row r="4">
      <c r="A4" s="15" t="n">
        <v>0.2</v>
      </c>
      <c r="B4" s="14">
        <f>(fcf_sbc0*(1+($A4-($A4-gt)*0/9))/(1+B$2)^1+fcf_sbc0*(1+($A4-($A4-gt)*0/9))*(1+($A4-($A4-gt)*1/9))/(1+B$2)^2+fcf_sbc0*(1+($A4-($A4-gt)*0/9))*(1+($A4-($A4-gt)*1/9))*(1+($A4-($A4-gt)*2/9))/(1+B$2)^3+fcf_sbc0*(1+($A4-($A4-gt)*0/9))*(1+($A4-($A4-gt)*1/9))*(1+($A4-($A4-gt)*2/9))*(1+($A4-($A4-gt)*3/9))/(1+B$2)^4+fcf_sbc0*(1+($A4-($A4-gt)*0/9))*(1+($A4-($A4-gt)*1/9))*(1+($A4-($A4-gt)*2/9))*(1+($A4-($A4-gt)*3/9))*(1+($A4-($A4-gt)*4/9))/(1+B$2)^5+fcf_sbc0*(1+($A4-($A4-gt)*0/9))*(1+($A4-($A4-gt)*1/9))*(1+($A4-($A4-gt)*2/9))*(1+($A4-($A4-gt)*3/9))*(1+($A4-($A4-gt)*4/9))*(1+($A4-($A4-gt)*5/9))/(1+B$2)^6+fcf_sbc0*(1+($A4-($A4-gt)*0/9))*(1+($A4-($A4-gt)*1/9))*(1+($A4-($A4-gt)*2/9))*(1+($A4-($A4-gt)*3/9))*(1+($A4-($A4-gt)*4/9))*(1+($A4-($A4-gt)*5/9))*(1+($A4-($A4-gt)*6/9))/(1+B$2)^7+fcf_sbc0*(1+($A4-($A4-gt)*0/9))*(1+($A4-($A4-gt)*1/9))*(1+($A4-($A4-gt)*2/9))*(1+($A4-($A4-gt)*3/9))*(1+($A4-($A4-gt)*4/9))*(1+($A4-($A4-gt)*5/9))*(1+($A4-($A4-gt)*6/9))*(1+($A4-($A4-gt)*7/9))/(1+B$2)^8+fcf_sbc0*(1+($A4-($A4-gt)*0/9))*(1+($A4-($A4-gt)*1/9))*(1+($A4-($A4-gt)*2/9))*(1+($A4-($A4-gt)*3/9))*(1+($A4-($A4-gt)*4/9))*(1+($A4-($A4-gt)*5/9))*(1+($A4-($A4-gt)*6/9))*(1+($A4-($A4-gt)*7/9))*(1+($A4-($A4-gt)*8/9))/(1+B$2)^9+fcf_sbc0*(1+($A4-($A4-gt)*0/9))*(1+($A4-($A4-gt)*1/9))*(1+($A4-($A4-gt)*2/9))*(1+($A4-($A4-gt)*3/9))*(1+($A4-($A4-gt)*4/9))*(1+($A4-($A4-gt)*5/9))*(1+($A4-($A4-gt)*6/9))*(1+($A4-($A4-gt)*7/9))*(1+($A4-($A4-gt)*8/9))*(1+($A4-($A4-gt)*9/9))/(1+B$2)^10+fcf_sbc0*(1+($A4-($A4-gt)*0/9))*(1+($A4-($A4-gt)*1/9))*(1+($A4-($A4-gt)*2/9))*(1+($A4-($A4-gt)*3/9))*(1+($A4-($A4-gt)*4/9))*(1+($A4-($A4-gt)*5/9))*(1+($A4-($A4-gt)*6/9))*(1+($A4-($A4-gt)*7/9))*(1+($A4-($A4-gt)*8/9))*(1+($A4-($A4-gt)*9/9))*(1+gt)/(B$2-gt)/(1+B$2)^10-netdebt)/sh</f>
        <v/>
      </c>
      <c r="C4" s="14">
        <f>(fcf_sbc0*(1+($A4-($A4-gt)*0/9))/(1+C$2)^1+fcf_sbc0*(1+($A4-($A4-gt)*0/9))*(1+($A4-($A4-gt)*1/9))/(1+C$2)^2+fcf_sbc0*(1+($A4-($A4-gt)*0/9))*(1+($A4-($A4-gt)*1/9))*(1+($A4-($A4-gt)*2/9))/(1+C$2)^3+fcf_sbc0*(1+($A4-($A4-gt)*0/9))*(1+($A4-($A4-gt)*1/9))*(1+($A4-($A4-gt)*2/9))*(1+($A4-($A4-gt)*3/9))/(1+C$2)^4+fcf_sbc0*(1+($A4-($A4-gt)*0/9))*(1+($A4-($A4-gt)*1/9))*(1+($A4-($A4-gt)*2/9))*(1+($A4-($A4-gt)*3/9))*(1+($A4-($A4-gt)*4/9))/(1+C$2)^5+fcf_sbc0*(1+($A4-($A4-gt)*0/9))*(1+($A4-($A4-gt)*1/9))*(1+($A4-($A4-gt)*2/9))*(1+($A4-($A4-gt)*3/9))*(1+($A4-($A4-gt)*4/9))*(1+($A4-($A4-gt)*5/9))/(1+C$2)^6+fcf_sbc0*(1+($A4-($A4-gt)*0/9))*(1+($A4-($A4-gt)*1/9))*(1+($A4-($A4-gt)*2/9))*(1+($A4-($A4-gt)*3/9))*(1+($A4-($A4-gt)*4/9))*(1+($A4-($A4-gt)*5/9))*(1+($A4-($A4-gt)*6/9))/(1+C$2)^7+fcf_sbc0*(1+($A4-($A4-gt)*0/9))*(1+($A4-($A4-gt)*1/9))*(1+($A4-($A4-gt)*2/9))*(1+($A4-($A4-gt)*3/9))*(1+($A4-($A4-gt)*4/9))*(1+($A4-($A4-gt)*5/9))*(1+($A4-($A4-gt)*6/9))*(1+($A4-($A4-gt)*7/9))/(1+C$2)^8+fcf_sbc0*(1+($A4-($A4-gt)*0/9))*(1+($A4-($A4-gt)*1/9))*(1+($A4-($A4-gt)*2/9))*(1+($A4-($A4-gt)*3/9))*(1+($A4-($A4-gt)*4/9))*(1+($A4-($A4-gt)*5/9))*(1+($A4-($A4-gt)*6/9))*(1+($A4-($A4-gt)*7/9))*(1+($A4-($A4-gt)*8/9))/(1+C$2)^9+fcf_sbc0*(1+($A4-($A4-gt)*0/9))*(1+($A4-($A4-gt)*1/9))*(1+($A4-($A4-gt)*2/9))*(1+($A4-($A4-gt)*3/9))*(1+($A4-($A4-gt)*4/9))*(1+($A4-($A4-gt)*5/9))*(1+($A4-($A4-gt)*6/9))*(1+($A4-($A4-gt)*7/9))*(1+($A4-($A4-gt)*8/9))*(1+($A4-($A4-gt)*9/9))/(1+C$2)^10+fcf_sbc0*(1+($A4-($A4-gt)*0/9))*(1+($A4-($A4-gt)*1/9))*(1+($A4-($A4-gt)*2/9))*(1+($A4-($A4-gt)*3/9))*(1+($A4-($A4-gt)*4/9))*(1+($A4-($A4-gt)*5/9))*(1+($A4-($A4-gt)*6/9))*(1+($A4-($A4-gt)*7/9))*(1+($A4-($A4-gt)*8/9))*(1+($A4-($A4-gt)*9/9))*(1+gt)/(C$2-gt)/(1+C$2)^10-netdebt)/sh</f>
        <v/>
      </c>
      <c r="D4" s="14">
        <f>(fcf_sbc0*(1+($A4-($A4-gt)*0/9))/(1+D$2)^1+fcf_sbc0*(1+($A4-($A4-gt)*0/9))*(1+($A4-($A4-gt)*1/9))/(1+D$2)^2+fcf_sbc0*(1+($A4-($A4-gt)*0/9))*(1+($A4-($A4-gt)*1/9))*(1+($A4-($A4-gt)*2/9))/(1+D$2)^3+fcf_sbc0*(1+($A4-($A4-gt)*0/9))*(1+($A4-($A4-gt)*1/9))*(1+($A4-($A4-gt)*2/9))*(1+($A4-($A4-gt)*3/9))/(1+D$2)^4+fcf_sbc0*(1+($A4-($A4-gt)*0/9))*(1+($A4-($A4-gt)*1/9))*(1+($A4-($A4-gt)*2/9))*(1+($A4-($A4-gt)*3/9))*(1+($A4-($A4-gt)*4/9))/(1+D$2)^5+fcf_sbc0*(1+($A4-($A4-gt)*0/9))*(1+($A4-($A4-gt)*1/9))*(1+($A4-($A4-gt)*2/9))*(1+($A4-($A4-gt)*3/9))*(1+($A4-($A4-gt)*4/9))*(1+($A4-($A4-gt)*5/9))/(1+D$2)^6+fcf_sbc0*(1+($A4-($A4-gt)*0/9))*(1+($A4-($A4-gt)*1/9))*(1+($A4-($A4-gt)*2/9))*(1+($A4-($A4-gt)*3/9))*(1+($A4-($A4-gt)*4/9))*(1+($A4-($A4-gt)*5/9))*(1+($A4-($A4-gt)*6/9))/(1+D$2)^7+fcf_sbc0*(1+($A4-($A4-gt)*0/9))*(1+($A4-($A4-gt)*1/9))*(1+($A4-($A4-gt)*2/9))*(1+($A4-($A4-gt)*3/9))*(1+($A4-($A4-gt)*4/9))*(1+($A4-($A4-gt)*5/9))*(1+($A4-($A4-gt)*6/9))*(1+($A4-($A4-gt)*7/9))/(1+D$2)^8+fcf_sbc0*(1+($A4-($A4-gt)*0/9))*(1+($A4-($A4-gt)*1/9))*(1+($A4-($A4-gt)*2/9))*(1+($A4-($A4-gt)*3/9))*(1+($A4-($A4-gt)*4/9))*(1+($A4-($A4-gt)*5/9))*(1+($A4-($A4-gt)*6/9))*(1+($A4-($A4-gt)*7/9))*(1+($A4-($A4-gt)*8/9))/(1+D$2)^9+fcf_sbc0*(1+($A4-($A4-gt)*0/9))*(1+($A4-($A4-gt)*1/9))*(1+($A4-($A4-gt)*2/9))*(1+($A4-($A4-gt)*3/9))*(1+($A4-($A4-gt)*4/9))*(1+($A4-($A4-gt)*5/9))*(1+($A4-($A4-gt)*6/9))*(1+($A4-($A4-gt)*7/9))*(1+($A4-($A4-gt)*8/9))*(1+($A4-($A4-gt)*9/9))/(1+D$2)^10+fcf_sbc0*(1+($A4-($A4-gt)*0/9))*(1+($A4-($A4-gt)*1/9))*(1+($A4-($A4-gt)*2/9))*(1+($A4-($A4-gt)*3/9))*(1+($A4-($A4-gt)*4/9))*(1+($A4-($A4-gt)*5/9))*(1+($A4-($A4-gt)*6/9))*(1+($A4-($A4-gt)*7/9))*(1+($A4-($A4-gt)*8/9))*(1+($A4-($A4-gt)*9/9))*(1+gt)/(D$2-gt)/(1+D$2)^10-netdebt)/sh</f>
        <v/>
      </c>
    </row>
    <row r="5">
      <c r="A5" s="15" t="n">
        <v>0.25</v>
      </c>
      <c r="B5" s="14">
        <f>(fcf_sbc0*(1+($A5-($A5-gt)*0/9))/(1+B$2)^1+fcf_sbc0*(1+($A5-($A5-gt)*0/9))*(1+($A5-($A5-gt)*1/9))/(1+B$2)^2+fcf_sbc0*(1+($A5-($A5-gt)*0/9))*(1+($A5-($A5-gt)*1/9))*(1+($A5-($A5-gt)*2/9))/(1+B$2)^3+fcf_sbc0*(1+($A5-($A5-gt)*0/9))*(1+($A5-($A5-gt)*1/9))*(1+($A5-($A5-gt)*2/9))*(1+($A5-($A5-gt)*3/9))/(1+B$2)^4+fcf_sbc0*(1+($A5-($A5-gt)*0/9))*(1+($A5-($A5-gt)*1/9))*(1+($A5-($A5-gt)*2/9))*(1+($A5-($A5-gt)*3/9))*(1+($A5-($A5-gt)*4/9))/(1+B$2)^5+fcf_sbc0*(1+($A5-($A5-gt)*0/9))*(1+($A5-($A5-gt)*1/9))*(1+($A5-($A5-gt)*2/9))*(1+($A5-($A5-gt)*3/9))*(1+($A5-($A5-gt)*4/9))*(1+($A5-($A5-gt)*5/9))/(1+B$2)^6+fcf_sbc0*(1+($A5-($A5-gt)*0/9))*(1+($A5-($A5-gt)*1/9))*(1+($A5-($A5-gt)*2/9))*(1+($A5-($A5-gt)*3/9))*(1+($A5-($A5-gt)*4/9))*(1+($A5-($A5-gt)*5/9))*(1+($A5-($A5-gt)*6/9))/(1+B$2)^7+fcf_sbc0*(1+($A5-($A5-gt)*0/9))*(1+($A5-($A5-gt)*1/9))*(1+($A5-($A5-gt)*2/9))*(1+($A5-($A5-gt)*3/9))*(1+($A5-($A5-gt)*4/9))*(1+($A5-($A5-gt)*5/9))*(1+($A5-($A5-gt)*6/9))*(1+($A5-($A5-gt)*7/9))/(1+B$2)^8+fcf_sbc0*(1+($A5-($A5-gt)*0/9))*(1+($A5-($A5-gt)*1/9))*(1+($A5-($A5-gt)*2/9))*(1+($A5-($A5-gt)*3/9))*(1+($A5-($A5-gt)*4/9))*(1+($A5-($A5-gt)*5/9))*(1+($A5-($A5-gt)*6/9))*(1+($A5-($A5-gt)*7/9))*(1+($A5-($A5-gt)*8/9))/(1+B$2)^9+fcf_sbc0*(1+($A5-($A5-gt)*0/9))*(1+($A5-($A5-gt)*1/9))*(1+($A5-($A5-gt)*2/9))*(1+($A5-($A5-gt)*3/9))*(1+($A5-($A5-gt)*4/9))*(1+($A5-($A5-gt)*5/9))*(1+($A5-($A5-gt)*6/9))*(1+($A5-($A5-gt)*7/9))*(1+($A5-($A5-gt)*8/9))*(1+($A5-($A5-gt)*9/9))/(1+B$2)^10+fcf_sbc0*(1+($A5-($A5-gt)*0/9))*(1+($A5-($A5-gt)*1/9))*(1+($A5-($A5-gt)*2/9))*(1+($A5-($A5-gt)*3/9))*(1+($A5-($A5-gt)*4/9))*(1+($A5-($A5-gt)*5/9))*(1+($A5-($A5-gt)*6/9))*(1+($A5-($A5-gt)*7/9))*(1+($A5-($A5-gt)*8/9))*(1+($A5-($A5-gt)*9/9))*(1+gt)/(B$2-gt)/(1+B$2)^10-netdebt)/sh</f>
        <v/>
      </c>
      <c r="C5" s="14">
        <f>(fcf_sbc0*(1+($A5-($A5-gt)*0/9))/(1+C$2)^1+fcf_sbc0*(1+($A5-($A5-gt)*0/9))*(1+($A5-($A5-gt)*1/9))/(1+C$2)^2+fcf_sbc0*(1+($A5-($A5-gt)*0/9))*(1+($A5-($A5-gt)*1/9))*(1+($A5-($A5-gt)*2/9))/(1+C$2)^3+fcf_sbc0*(1+($A5-($A5-gt)*0/9))*(1+($A5-($A5-gt)*1/9))*(1+($A5-($A5-gt)*2/9))*(1+($A5-($A5-gt)*3/9))/(1+C$2)^4+fcf_sbc0*(1+($A5-($A5-gt)*0/9))*(1+($A5-($A5-gt)*1/9))*(1+($A5-($A5-gt)*2/9))*(1+($A5-($A5-gt)*3/9))*(1+($A5-($A5-gt)*4/9))/(1+C$2)^5+fcf_sbc0*(1+($A5-($A5-gt)*0/9))*(1+($A5-($A5-gt)*1/9))*(1+($A5-($A5-gt)*2/9))*(1+($A5-($A5-gt)*3/9))*(1+($A5-($A5-gt)*4/9))*(1+($A5-($A5-gt)*5/9))/(1+C$2)^6+fcf_sbc0*(1+($A5-($A5-gt)*0/9))*(1+($A5-($A5-gt)*1/9))*(1+($A5-($A5-gt)*2/9))*(1+($A5-($A5-gt)*3/9))*(1+($A5-($A5-gt)*4/9))*(1+($A5-($A5-gt)*5/9))*(1+($A5-($A5-gt)*6/9))/(1+C$2)^7+fcf_sbc0*(1+($A5-($A5-gt)*0/9))*(1+($A5-($A5-gt)*1/9))*(1+($A5-($A5-gt)*2/9))*(1+($A5-($A5-gt)*3/9))*(1+($A5-($A5-gt)*4/9))*(1+($A5-($A5-gt)*5/9))*(1+($A5-($A5-gt)*6/9))*(1+($A5-($A5-gt)*7/9))/(1+C$2)^8+fcf_sbc0*(1+($A5-($A5-gt)*0/9))*(1+($A5-($A5-gt)*1/9))*(1+($A5-($A5-gt)*2/9))*(1+($A5-($A5-gt)*3/9))*(1+($A5-($A5-gt)*4/9))*(1+($A5-($A5-gt)*5/9))*(1+($A5-($A5-gt)*6/9))*(1+($A5-($A5-gt)*7/9))*(1+($A5-($A5-gt)*8/9))/(1+C$2)^9+fcf_sbc0*(1+($A5-($A5-gt)*0/9))*(1+($A5-($A5-gt)*1/9))*(1+($A5-($A5-gt)*2/9))*(1+($A5-($A5-gt)*3/9))*(1+($A5-($A5-gt)*4/9))*(1+($A5-($A5-gt)*5/9))*(1+($A5-($A5-gt)*6/9))*(1+($A5-($A5-gt)*7/9))*(1+($A5-($A5-gt)*8/9))*(1+($A5-($A5-gt)*9/9))/(1+C$2)^10+fcf_sbc0*(1+($A5-($A5-gt)*0/9))*(1+($A5-($A5-gt)*1/9))*(1+($A5-($A5-gt)*2/9))*(1+($A5-($A5-gt)*3/9))*(1+($A5-($A5-gt)*4/9))*(1+($A5-($A5-gt)*5/9))*(1+($A5-($A5-gt)*6/9))*(1+($A5-($A5-gt)*7/9))*(1+($A5-($A5-gt)*8/9))*(1+($A5-($A5-gt)*9/9))*(1+gt)/(C$2-gt)/(1+C$2)^10-netdebt)/sh</f>
        <v/>
      </c>
      <c r="D5" s="14">
        <f>(fcf_sbc0*(1+($A5-($A5-gt)*0/9))/(1+D$2)^1+fcf_sbc0*(1+($A5-($A5-gt)*0/9))*(1+($A5-($A5-gt)*1/9))/(1+D$2)^2+fcf_sbc0*(1+($A5-($A5-gt)*0/9))*(1+($A5-($A5-gt)*1/9))*(1+($A5-($A5-gt)*2/9))/(1+D$2)^3+fcf_sbc0*(1+($A5-($A5-gt)*0/9))*(1+($A5-($A5-gt)*1/9))*(1+($A5-($A5-gt)*2/9))*(1+($A5-($A5-gt)*3/9))/(1+D$2)^4+fcf_sbc0*(1+($A5-($A5-gt)*0/9))*(1+($A5-($A5-gt)*1/9))*(1+($A5-($A5-gt)*2/9))*(1+($A5-($A5-gt)*3/9))*(1+($A5-($A5-gt)*4/9))/(1+D$2)^5+fcf_sbc0*(1+($A5-($A5-gt)*0/9))*(1+($A5-($A5-gt)*1/9))*(1+($A5-($A5-gt)*2/9))*(1+($A5-($A5-gt)*3/9))*(1+($A5-($A5-gt)*4/9))*(1+($A5-($A5-gt)*5/9))/(1+D$2)^6+fcf_sbc0*(1+($A5-($A5-gt)*0/9))*(1+($A5-($A5-gt)*1/9))*(1+($A5-($A5-gt)*2/9))*(1+($A5-($A5-gt)*3/9))*(1+($A5-($A5-gt)*4/9))*(1+($A5-($A5-gt)*5/9))*(1+($A5-($A5-gt)*6/9))/(1+D$2)^7+fcf_sbc0*(1+($A5-($A5-gt)*0/9))*(1+($A5-($A5-gt)*1/9))*(1+($A5-($A5-gt)*2/9))*(1+($A5-($A5-gt)*3/9))*(1+($A5-($A5-gt)*4/9))*(1+($A5-($A5-gt)*5/9))*(1+($A5-($A5-gt)*6/9))*(1+($A5-($A5-gt)*7/9))/(1+D$2)^8+fcf_sbc0*(1+($A5-($A5-gt)*0/9))*(1+($A5-($A5-gt)*1/9))*(1+($A5-($A5-gt)*2/9))*(1+($A5-($A5-gt)*3/9))*(1+($A5-($A5-gt)*4/9))*(1+($A5-($A5-gt)*5/9))*(1+($A5-($A5-gt)*6/9))*(1+($A5-($A5-gt)*7/9))*(1+($A5-($A5-gt)*8/9))/(1+D$2)^9+fcf_sbc0*(1+($A5-($A5-gt)*0/9))*(1+($A5-($A5-gt)*1/9))*(1+($A5-($A5-gt)*2/9))*(1+($A5-($A5-gt)*3/9))*(1+($A5-($A5-gt)*4/9))*(1+($A5-($A5-gt)*5/9))*(1+($A5-($A5-gt)*6/9))*(1+($A5-($A5-gt)*7/9))*(1+($A5-($A5-gt)*8/9))*(1+($A5-($A5-gt)*9/9))/(1+D$2)^10+fcf_sbc0*(1+($A5-($A5-gt)*0/9))*(1+($A5-($A5-gt)*1/9))*(1+($A5-($A5-gt)*2/9))*(1+($A5-($A5-gt)*3/9))*(1+($A5-($A5-gt)*4/9))*(1+($A5-($A5-gt)*5/9))*(1+($A5-($A5-gt)*6/9))*(1+($A5-($A5-gt)*7/9))*(1+($A5-($A5-gt)*8/9))*(1+($A5-($A5-gt)*9/9))*(1+gt)/(D$2-gt)/(1+D$2)^10-netdebt)/sh</f>
        <v/>
      </c>
    </row>
    <row r="6"/>
    <row r="7">
      <c r="A7" t="inlineStr">
        <is>
          <t>ค่าหัวแถวและหัวคอลัมน์ (สีเหลือง) เปลี่ยนได้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8" customWidth="1" min="3" max="3"/>
    <col width="12" customWidth="1" min="4" max="4"/>
    <col width="30" customWidth="1" min="5" max="5"/>
  </cols>
  <sheetData>
    <row r="1">
      <c r="A1" s="4" t="inlineStr">
        <is>
          <t>รายการ</t>
        </is>
      </c>
      <c r="B1" s="4" t="inlineStr">
        <is>
          <t>ค่าในโมเดล</t>
        </is>
      </c>
      <c r="C1" s="4" t="inlineStr">
        <is>
          <t>ค่าที่พิมพ์ในหนังสือ</t>
        </is>
      </c>
      <c r="D1" s="4" t="inlineStr">
        <is>
          <t>ผลต่าง</t>
        </is>
      </c>
      <c r="E1" s="4" t="inlineStr">
        <is>
          <t>บท/ตาราง</t>
        </is>
      </c>
    </row>
    <row r="2">
      <c r="A2" t="inlineStr">
        <is>
          <t>EV</t>
        </is>
      </c>
      <c r="B2" s="10">
        <f>ev</f>
        <v/>
      </c>
      <c r="C2" s="10" t="n">
        <v>139376</v>
      </c>
      <c r="D2" s="10">
        <f>B2-C2</f>
        <v/>
      </c>
      <c r="E2" t="inlineStr">
        <is>
          <t>บทที่ 25 (139,376)</t>
        </is>
      </c>
    </row>
    <row r="3">
      <c r="A3" t="inlineStr">
        <is>
          <t>WACC ที่ใช้</t>
        </is>
      </c>
      <c r="B3" s="12">
        <f>wacc_use</f>
        <v/>
      </c>
      <c r="C3" s="12" t="n">
        <v>0.104</v>
      </c>
      <c r="D3" s="12">
        <f>B3-C3</f>
        <v/>
      </c>
      <c r="E3" t="inlineStr">
        <is>
          <t>บทที่ 27 (10.4%)</t>
        </is>
      </c>
    </row>
    <row r="4">
      <c r="A4" t="inlineStr">
        <is>
          <t>FCF TTM</t>
        </is>
      </c>
      <c r="B4" s="10">
        <f>fcf_0</f>
        <v/>
      </c>
      <c r="C4" s="10" t="n">
        <v>4580</v>
      </c>
      <c r="D4" s="10">
        <f>B4-C4</f>
        <v/>
      </c>
      <c r="E4" t="inlineStr">
        <is>
          <t>บทที่ 25 (4,580)</t>
        </is>
      </c>
    </row>
    <row r="5">
      <c r="A5" t="inlineStr">
        <is>
          <t>SBC TTM</t>
        </is>
      </c>
      <c r="B5" s="10">
        <f>sbc_0</f>
        <v/>
      </c>
      <c r="C5" s="10" t="n">
        <v>2185</v>
      </c>
      <c r="D5" s="10">
        <f>B5-C5</f>
        <v/>
      </c>
      <c r="E5" t="inlineStr">
        <is>
          <t>บทที่ 25 (2,185)</t>
        </is>
      </c>
    </row>
    <row r="6">
      <c r="A6" t="inlineStr">
        <is>
          <t>มูลค่าต่อหุ้น g1 15% WACC 10.4%</t>
        </is>
      </c>
      <c r="B6" s="14">
        <f>'Grid'!C3</f>
        <v/>
      </c>
      <c r="C6" s="14" t="n">
        <v>51</v>
      </c>
      <c r="D6" s="14">
        <f>B6-C6</f>
        <v/>
      </c>
      <c r="E6" t="inlineStr">
        <is>
          <t>Case Lab ภาค 6 (ช่วง 51–76)</t>
        </is>
      </c>
    </row>
    <row r="7">
      <c r="A7" t="inlineStr">
        <is>
          <t>มูลค่าต่อหุ้น g1 25% WACC 10.4%</t>
        </is>
      </c>
      <c r="B7" s="14">
        <f>'Grid'!C5</f>
        <v/>
      </c>
      <c r="C7" s="14" t="n">
        <v>76</v>
      </c>
      <c r="D7" s="14">
        <f>B7-C7</f>
        <v/>
      </c>
      <c r="E7" t="inlineStr">
        <is>
          <t>Case Lab ภาค 6 (ช่วง 51–76)</t>
        </is>
      </c>
    </row>
    <row r="8"/>
    <row r="9">
      <c r="A9" t="inlineStr">
        <is>
          <t>ค่าในหนังสือปัดเศษแล้ว ผลต่างเล็กน้อยจากการปัดเศษเป็นเรื่องปกติ ค่าที่พิมพ์ในคอลัมน์ C ใช้ตรวจเท่านั้น ไม่ใช่ข้อมูลนำเข้า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