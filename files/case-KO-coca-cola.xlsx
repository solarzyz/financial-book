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DDM" sheetId="6" state="visible" r:id="rId6"/>
    <sheet xmlns:r="http://schemas.openxmlformats.org/officeDocument/2006/relationships" name="ตรวจกับหนังสือ" sheetId="7" state="visible" r:id="rId7"/>
  </sheets>
  <definedNames>
    <definedName name="price">'Inputs'!$B$3</definedName>
    <definedName name="sh_out">'Inputs'!$B$4</definedName>
    <definedName name="sh_dil">'Inputs'!$B$5</definedName>
    <definedName name="rev_fy">'Inputs'!$B$7</definedName>
    <definedName name="rev_h26">'Inputs'!$B$8</definedName>
    <definedName name="rev_h25">'Inputs'!$B$9</definedName>
    <definedName name="ebit_fy">'Inputs'!$B$10</definedName>
    <definedName name="ebit_h26">'Inputs'!$B$11</definedName>
    <definedName name="ebit_h25">'Inputs'!$B$12</definedName>
    <definedName name="da_fy">'Inputs'!$B$13</definedName>
    <definedName name="cash">'Inputs'!$B$15</definedName>
    <definedName name="debt">'Inputs'!$B$16</definedName>
    <definedName name="nci">'Inputs'!$B$17</definedName>
    <definedName name="eqinv">'Inputs'!$B$18</definedName>
    <definedName name="rf">'Inputs'!$B$20</definedName>
    <definedName name="erp">'Inputs'!$B$21</definedName>
    <definedName name="beta_u">'Inputs'!$B$22</definedName>
    <definedName name="tax_us">'Inputs'!$B$23</definedName>
    <definedName name="kd">'Inputs'!$B$24</definedName>
    <definedName name="g_base">'Inputs'!$B$26</definedName>
    <definedName name="m_base">'Inputs'!$B$27</definedName>
    <definedName name="t_base">'Inputs'!$B$28</definedName>
    <definedName name="ronic_base">'Inputs'!$B$29</definedName>
    <definedName name="wacc_base">'Inputs'!$B$30</definedName>
    <definedName name="gt_base">'Inputs'!$B$31</definedName>
    <definedName name="g_bear">'Inputs'!$B$33</definedName>
    <definedName name="m_bear">'Inputs'!$B$34</definedName>
    <definedName name="t_bear">'Inputs'!$B$35</definedName>
    <definedName name="ronic_bear">'Inputs'!$B$36</definedName>
    <definedName name="wacc_bear">'Inputs'!$B$37</definedName>
    <definedName name="gt_bear">'Inputs'!$B$38</definedName>
    <definedName name="adj_bear">'Inputs'!$B$39</definedName>
    <definedName name="g_bull">'Inputs'!$B$40</definedName>
    <definedName name="m_bull">'Inputs'!$B$41</definedName>
    <definedName name="t_bull">'Inputs'!$B$42</definedName>
    <definedName name="ronic_bull">'Inputs'!$B$43</definedName>
    <definedName name="wacc_bull">'Inputs'!$B$44</definedName>
    <definedName name="gt_bull">'Inputs'!$B$45</definedName>
    <definedName name="adj_bull">'Inputs'!$B$46</definedName>
    <definedName name="mcap">'WACC'!$B$2</definedName>
    <definedName name="de">'WACC'!$B$3</definedName>
    <definedName name="beta_l">'WACC'!$B$4</definedName>
    <definedName name="ke">'WACC'!$B$5</definedName>
    <definedName name="wacc_calc">'WACC'!$B$6</definedName>
    <definedName name="rev_ttm">'WACC'!$B$7</definedName>
    <definedName name="v_bear">'DCF'!$B$22</definedName>
    <definedName name="v_base">'DCF'!$C$22</definedName>
    <definedName name="v_bull">'DCF'!$D$22</definedName>
    <definedName name="tv_share_base">'DCF'!$C$20</definedName>
    <definedName name="dps_1">'Inputs'!$B$48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</font>
    <font>
      <name val="Calibri"/>
      <color rgb="001F4E9A"/>
    </font>
    <font>
      <name val="Calibri"/>
      <b val="1"/>
      <color rgb="000B5D7A"/>
      <sz val="14"/>
    </font>
  </fonts>
  <fills count="4">
    <fill>
      <patternFill/>
    </fill>
    <fill>
      <patternFill patternType="gray125"/>
    </fill>
    <fill>
      <patternFill patternType="solid">
        <fgColor rgb="000B5D7A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4" fontId="3" fillId="3" borderId="0" pivotButton="0" quotePrefix="0" xfId="0"/>
    <xf numFmtId="0" fontId="3" fillId="3" borderId="0" pivotButton="0" quotePrefix="0" xfId="0"/>
    <xf numFmtId="10" fontId="3" fillId="3" borderId="0" pivotButton="0" quotePrefix="0" xfId="0"/>
    <xf numFmtId="2" fontId="3" fillId="3" borderId="0" pivotButton="0" quotePrefix="0" xfId="0"/>
    <xf numFmtId="164" fontId="3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4" fontId="2" fillId="0" borderId="0" pivotButton="0" quotePrefix="0" xfId="0"/>
    <xf numFmtId="164" fontId="2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โมเดล Coca-Cola (KO) ณ วันตัดข้อมูล</t>
        </is>
      </c>
    </row>
    <row r="2">
      <c r="A2" s="2" t="inlineStr">
        <is>
          <t>DCF จากตัวขับเคลื่อน ฉากทัศน์ bear/base/bull ตาราง WACC × g WACC และ Gordon DDM</t>
        </is>
      </c>
    </row>
    <row r="3">
      <c r="A3" s="2" t="inlineStr">
        <is>
          <t>บทที่เกี่ยวข้อง: บทที่ 25, 27–30 และ 61</t>
        </is>
      </c>
    </row>
    <row r="4">
      <c r="A4" s="2" t="inlineStr">
        <is>
          <t>เวอร์ชัน 2026-10-11 · ประกอบหนังสือ จากตัวเลขสู่การตัดสินใจ (Solar)</t>
        </is>
      </c>
    </row>
    <row r="5">
      <c r="A5" s="2" t="inlineStr"/>
    </row>
    <row r="6">
      <c r="A6" s="3" t="inlineStr">
        <is>
          <t>วิธีอ่านแฟ้ม (หัวข้อ 55.4)</t>
        </is>
      </c>
    </row>
    <row r="7">
      <c r="A7" s="2" t="inlineStr">
        <is>
          <t>• แผ่น Inputs: ตัวเลขที่พิมพ์ด้วยมือทั้งหมดอยู่ที่นี่ เซลล์สีเหลืองตัวอักษรน้ำเงินคือค่าที่คุณเปลี่ยนได้ ทุกแถวมีหน่วย งวด แหล่ง และหน้าหรือแถว</t>
        </is>
      </c>
    </row>
    <row r="8">
      <c r="A8" s="2" t="inlineStr">
        <is>
          <t>• แผ่นคำนวณ: มีแต่สูตร อ้างชื่อเซลล์จากแผ่น Inputs (ดูชื่อได้ที่ Formulas › Name Manager)</t>
        </is>
      </c>
    </row>
    <row r="9">
      <c r="A9" s="2" t="inlineStr">
        <is>
          <t>• เซลล์สีเขียว 'ตรวจ': คำนวณสองทางแล้วเทียบกัน ควรแสดง OK ถ้าแสดง 'ตรวจสอบ' ให้หาว่าข้อมูลนำเข้าตัวใดผิด</t>
        </is>
      </c>
    </row>
    <row r="10">
      <c r="A10" s="2" t="inlineStr">
        <is>
          <t>• ผลลัพธ์เป็นช่วงหรือตารางความอ่อนไหว ไม่ใช่ตัวเลขเดียว (บทที่ 29)</t>
        </is>
      </c>
    </row>
    <row r="11">
      <c r="A11" s="2" t="inlineStr"/>
    </row>
    <row r="12">
      <c r="A12" s="3" t="inlineStr">
        <is>
          <t>ข้อมูล ณ จุดตัดของหนังสือ: งบ FY2025 + งบระหว่างกาลไตรมาส 2 ปี 2026 · ราคาปิด 2026-09-30 ข้อมูลราคาและงบการเงินเปลี่ยนแปลงหลังการตีพิมพ์</t>
        </is>
      </c>
    </row>
    <row r="13">
      <c r="A13" s="2" t="inlineStr">
        <is>
          <t>สมมติฐานในโมเดลเป็นของผู้เขียน เมื่อคุณเห็นต่าง ให้เปลี่ยนในแผ่น Inputs และบันทึกเหตุผลในช่อง 5 ของ Thesis Canvas</t>
        </is>
      </c>
    </row>
    <row r="14">
      <c r="A14" s="2" t="inlineStr"/>
    </row>
    <row r="15">
      <c r="A15" s="2" t="inlineStr">
        <is>
          <t>เนื้อหาเพื่อการศึกษา ไม่ใช่คำแนะนำให้ซื้อ ขาย หรือถือหลักทรัพย์ใด และไม่มีราคาเป้าหมาย ผลในอดีตและตัวเลขสมมติไม่รับประกันผลในอนาคต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8" customWidth="1" min="4" max="4"/>
    <col width="34" customWidth="1" min="5" max="5"/>
    <col width="46" customWidth="1" min="6" max="6"/>
  </cols>
  <sheetData>
    <row r="1">
      <c r="A1" s="4" t="inlineStr">
        <is>
          <t>รายการ</t>
        </is>
      </c>
      <c r="B1" s="4" t="inlineStr">
        <is>
          <t>ค่า</t>
        </is>
      </c>
      <c r="C1" s="4" t="inlineStr">
        <is>
          <t>หน่วย</t>
        </is>
      </c>
      <c r="D1" s="4" t="inlineStr">
        <is>
          <t>งวด</t>
        </is>
      </c>
      <c r="E1" s="4" t="inlineStr">
        <is>
          <t>แหล่ง</t>
        </is>
      </c>
      <c r="F1" s="4" t="inlineStr">
        <is>
          <t>หน้า/แถว/หมายเหตุ</t>
        </is>
      </c>
    </row>
    <row r="2">
      <c r="A2" s="5" t="inlineStr">
        <is>
          <t>ราคาและหุ้น</t>
        </is>
      </c>
    </row>
    <row r="3">
      <c r="A3" t="inlineStr">
        <is>
          <t>ราคาปิด</t>
        </is>
      </c>
      <c r="B3" s="6" t="n">
        <v>86.08</v>
      </c>
      <c r="C3" t="inlineStr">
        <is>
          <t>USD</t>
        </is>
      </c>
      <c r="D3" t="inlineStr">
        <is>
          <t>2026-09-30</t>
        </is>
      </c>
      <c r="E3" t="inlineStr">
        <is>
          <t>NYSE ผ่าน Nasdaq</t>
        </is>
      </c>
      <c r="F3" t="inlineStr">
        <is>
          <t>data/market/freeze-2026-09-30.csv</t>
        </is>
      </c>
    </row>
    <row r="4">
      <c r="A4" t="inlineStr">
        <is>
          <t>หุ้นที่ออกจำหน่าย</t>
        </is>
      </c>
      <c r="B4" s="6" t="n">
        <v>4302.549243</v>
      </c>
      <c r="C4" t="inlineStr">
        <is>
          <t>ล้านหุ้น</t>
        </is>
      </c>
      <c r="D4" t="inlineStr">
        <is>
          <t>2026-07-27</t>
        </is>
      </c>
      <c r="E4" t="inlineStr">
        <is>
          <t>Coca-Cola Form 10-Q Q2 2026</t>
        </is>
      </c>
      <c r="F4" t="inlineStr">
        <is>
          <t>หน้าปก</t>
        </is>
      </c>
    </row>
    <row r="5">
      <c r="A5" t="inlineStr">
        <is>
          <t>หุ้นถัวเฉลี่ยปรับลด</t>
        </is>
      </c>
      <c r="B5" s="7" t="n">
        <v>4313</v>
      </c>
      <c r="C5" t="inlineStr">
        <is>
          <t>ล้านหุ้น</t>
        </is>
      </c>
      <c r="D5" t="inlineStr">
        <is>
          <t>Q2 2026</t>
        </is>
      </c>
      <c r="E5" t="inlineStr">
        <is>
          <t>Coca-Cola Form 10-Q Q2 2026</t>
        </is>
      </c>
      <c r="F5" t="inlineStr">
        <is>
          <t>หน้า 2</t>
        </is>
      </c>
    </row>
    <row r="6">
      <c r="A6" s="5" t="inlineStr">
        <is>
          <t>งบกำไรขาดทุน (ล้าน USD)</t>
        </is>
      </c>
    </row>
    <row r="7">
      <c r="A7" t="inlineStr">
        <is>
          <t>รายได้ — FY2025</t>
        </is>
      </c>
      <c r="B7" s="7" t="n">
        <v>47941</v>
      </c>
      <c r="C7" t="inlineStr">
        <is>
          <t>ล้าน USD</t>
        </is>
      </c>
      <c r="D7" t="inlineStr">
        <is>
          <t>FY2025</t>
        </is>
      </c>
      <c r="E7" t="inlineStr">
        <is>
          <t>Coca-Cola Form 10-K FY2025</t>
        </is>
      </c>
      <c r="F7" t="inlineStr">
        <is>
          <t>หน้า 61</t>
        </is>
      </c>
    </row>
    <row r="8">
      <c r="A8" t="inlineStr">
        <is>
          <t>รายได้ — H1 2026</t>
        </is>
      </c>
      <c r="B8" s="7" t="n">
        <v>25852</v>
      </c>
      <c r="C8" t="inlineStr">
        <is>
          <t>ล้าน USD</t>
        </is>
      </c>
      <c r="D8" t="inlineStr">
        <is>
          <t>H1 2026</t>
        </is>
      </c>
      <c r="E8" t="inlineStr">
        <is>
          <t>Coca-Cola Form 10-Q Q2 2026</t>
        </is>
      </c>
      <c r="F8" t="inlineStr">
        <is>
          <t>หน้า 2</t>
        </is>
      </c>
    </row>
    <row r="9">
      <c r="A9" t="inlineStr">
        <is>
          <t>รายได้ — H1 2025</t>
        </is>
      </c>
      <c r="B9" s="7" t="n">
        <v>23664</v>
      </c>
      <c r="C9" t="inlineStr">
        <is>
          <t>ล้าน USD</t>
        </is>
      </c>
      <c r="D9" t="inlineStr">
        <is>
          <t>H1 2025</t>
        </is>
      </c>
      <c r="E9" t="inlineStr">
        <is>
          <t>Coca-Cola Form 10-Q Q2 2026</t>
        </is>
      </c>
      <c r="F9" t="inlineStr">
        <is>
          <t>หน้า 2</t>
        </is>
      </c>
    </row>
    <row r="10">
      <c r="A10" t="inlineStr">
        <is>
          <t>กำไรจากการดำเนินงาน — FY2025</t>
        </is>
      </c>
      <c r="B10" s="7" t="n">
        <v>13762</v>
      </c>
      <c r="C10" t="inlineStr">
        <is>
          <t>ล้าน USD</t>
        </is>
      </c>
      <c r="D10" t="inlineStr">
        <is>
          <t>FY2025</t>
        </is>
      </c>
      <c r="E10" t="inlineStr">
        <is>
          <t>Coca-Cola Form 10-K FY2025</t>
        </is>
      </c>
      <c r="F10" t="inlineStr">
        <is>
          <t>หน้า 61</t>
        </is>
      </c>
    </row>
    <row r="11">
      <c r="A11" t="inlineStr">
        <is>
          <t>กำไรจากการดำเนินงาน — H1 2026</t>
        </is>
      </c>
      <c r="B11" s="7" t="n">
        <v>9031</v>
      </c>
      <c r="C11" t="inlineStr">
        <is>
          <t>ล้าน USD</t>
        </is>
      </c>
      <c r="D11" t="inlineStr">
        <is>
          <t>H1 2026</t>
        </is>
      </c>
      <c r="E11" t="inlineStr">
        <is>
          <t>Coca-Cola Form 10-Q Q2 2026</t>
        </is>
      </c>
      <c r="F11" t="inlineStr">
        <is>
          <t>หน้า 2</t>
        </is>
      </c>
    </row>
    <row r="12">
      <c r="A12" t="inlineStr">
        <is>
          <t>กำไรจากการดำเนินงาน — H1 2025</t>
        </is>
      </c>
      <c r="B12" s="7" t="n">
        <v>7939</v>
      </c>
      <c r="C12" t="inlineStr">
        <is>
          <t>ล้าน USD</t>
        </is>
      </c>
      <c r="D12" t="inlineStr">
        <is>
          <t>H1 2025</t>
        </is>
      </c>
      <c r="E12" t="inlineStr">
        <is>
          <t>Coca-Cola Form 10-Q Q2 2026</t>
        </is>
      </c>
      <c r="F12" t="inlineStr">
        <is>
          <t>หน้า 2</t>
        </is>
      </c>
    </row>
    <row r="13">
      <c r="A13" t="inlineStr">
        <is>
          <t>ค่าเสื่อมราคาและค่าตัดจำหน่าย FY2025</t>
        </is>
      </c>
      <c r="B13" s="7" t="n">
        <v>1050</v>
      </c>
      <c r="C13" t="inlineStr">
        <is>
          <t>ล้าน USD</t>
        </is>
      </c>
      <c r="D13" t="inlineStr">
        <is>
          <t>FY2025</t>
        </is>
      </c>
      <c r="E13" t="inlineStr">
        <is>
          <t>Coca-Cola Form 10-K FY2025</t>
        </is>
      </c>
      <c r="F13" t="inlineStr">
        <is>
          <t>หน้า 64</t>
        </is>
      </c>
    </row>
    <row r="14">
      <c r="A14" s="5" t="inlineStr">
        <is>
          <t>สะพานจาก EV สู่มูลค่าหุ้น ณ 2026-07-03 (ล้าน USD)</t>
        </is>
      </c>
    </row>
    <row r="15">
      <c r="A15" t="inlineStr">
        <is>
          <t>เงินสด + เงินลงทุนระยะสั้น + หลักทรัพย์ในความต้องการของตลาด</t>
        </is>
      </c>
      <c r="B15" s="7" t="n">
        <v>16371</v>
      </c>
      <c r="C15" t="inlineStr">
        <is>
          <t>ล้าน USD</t>
        </is>
      </c>
      <c r="D15" t="inlineStr">
        <is>
          <t>2026-07-03</t>
        </is>
      </c>
      <c r="E15" t="inlineStr">
        <is>
          <t>Coca-Cola Form 10-Q Q2 2026</t>
        </is>
      </c>
      <c r="F15" t="inlineStr">
        <is>
          <t>หน้า 4 (12,907 + 622 + 2,842)</t>
        </is>
      </c>
    </row>
    <row r="16">
      <c r="A16" t="inlineStr">
        <is>
          <t>หนี้รวม</t>
        </is>
      </c>
      <c r="B16" s="7" t="n">
        <v>43543</v>
      </c>
      <c r="C16" t="inlineStr">
        <is>
          <t>ล้าน USD</t>
        </is>
      </c>
      <c r="D16" t="inlineStr">
        <is>
          <t>2026-07-03</t>
        </is>
      </c>
      <c r="E16" t="inlineStr">
        <is>
          <t>Coca-Cola Form 10-Q Q2 2026</t>
        </is>
      </c>
      <c r="F16" t="inlineStr">
        <is>
          <t>หน้า 4 (48 + 6,494 + 37,001)</t>
        </is>
      </c>
    </row>
    <row r="17">
      <c r="A17" t="inlineStr">
        <is>
          <t>ส่วนได้เสียที่ไม่มีอำนาจควบคุม</t>
        </is>
      </c>
      <c r="B17" s="7" t="n">
        <v>2165</v>
      </c>
      <c r="C17" t="inlineStr">
        <is>
          <t>ล้าน USD</t>
        </is>
      </c>
      <c r="D17" t="inlineStr">
        <is>
          <t>2026-07-03</t>
        </is>
      </c>
      <c r="E17" t="inlineStr">
        <is>
          <t>Coca-Cola Form 10-Q Q2 2026</t>
        </is>
      </c>
      <c r="F17" t="inlineStr">
        <is>
          <t>หน้า 4</t>
        </is>
      </c>
    </row>
    <row r="18">
      <c r="A18" t="inlineStr">
        <is>
          <t>เงินลงทุนตามวิธีส่วนได้เสีย</t>
        </is>
      </c>
      <c r="B18" s="7" t="n">
        <v>20782</v>
      </c>
      <c r="C18" t="inlineStr">
        <is>
          <t>ล้าน USD</t>
        </is>
      </c>
      <c r="D18" t="inlineStr">
        <is>
          <t>2026-07-03</t>
        </is>
      </c>
      <c r="E18" t="inlineStr">
        <is>
          <t>Coca-Cola Form 10-Q Q2 2026</t>
        </is>
      </c>
      <c r="F18" t="inlineStr">
        <is>
          <t>หน้า 4</t>
        </is>
      </c>
    </row>
    <row r="19">
      <c r="A19" s="5" t="inlineStr">
        <is>
          <t>WACC (บทที่ 27)</t>
        </is>
      </c>
    </row>
    <row r="20">
      <c r="A20" t="inlineStr">
        <is>
          <t>อัตราผลตอบแทนพันธบัตรรัฐบาลสหรัฐฯ 10 ปี</t>
        </is>
      </c>
      <c r="B20" s="8" t="n">
        <v>0.0529</v>
      </c>
      <c r="C20" t="inlineStr">
        <is>
          <t>ต่อปี</t>
        </is>
      </c>
      <c r="D20" t="inlineStr">
        <is>
          <t>2026-09-30</t>
        </is>
      </c>
      <c r="E20" t="inlineStr">
        <is>
          <t>US Treasury</t>
        </is>
      </c>
      <c r="F20" t="inlineStr">
        <is>
          <t>คอลัมน์ 10 Yr</t>
        </is>
      </c>
    </row>
    <row r="21">
      <c r="A21" t="inlineStr">
        <is>
          <t>ERP ตลาดพัฒนาแล้ว</t>
        </is>
      </c>
      <c r="B21" s="8" t="n">
        <v>0.042</v>
      </c>
      <c r="C21" t="inlineStr">
        <is>
          <t>ต่อปี</t>
        </is>
      </c>
      <c r="D21" t="inlineStr">
        <is>
          <t>กรกฎาคม 2026</t>
        </is>
      </c>
      <c r="E21" t="inlineStr">
        <is>
          <t>Damodaran ctrypremJuly26.xlsx</t>
        </is>
      </c>
      <c r="F21" t="inlineStr">
        <is>
          <t>แถว 3</t>
        </is>
      </c>
    </row>
    <row r="22">
      <c r="A22" t="inlineStr">
        <is>
          <t>เบตาไม่มีหนี้ เครื่องดื่มไม่มีแอลกอฮอล์</t>
        </is>
      </c>
      <c r="B22" s="9" t="n">
        <v>0.5600000000000001</v>
      </c>
      <c r="C22" t="inlineStr">
        <is>
          <t>เท่า</t>
        </is>
      </c>
      <c r="D22" t="inlineStr">
        <is>
          <t>มกราคม 2026</t>
        </is>
      </c>
      <c r="E22" t="inlineStr">
        <is>
          <t>Damodaran Betas.html</t>
        </is>
      </c>
      <c r="F22" t="inlineStr">
        <is>
          <t>Beverage (Soft)</t>
        </is>
      </c>
    </row>
    <row r="23">
      <c r="A23" t="inlineStr">
        <is>
          <t>อัตราภาษีตามกฎหมายของสหรัฐฯ</t>
        </is>
      </c>
      <c r="B23" s="10" t="n">
        <v>0.21</v>
      </c>
      <c r="C23" t="inlineStr">
        <is>
          <t>สัดส่วน</t>
        </is>
      </c>
      <c r="D23" t="inlineStr"/>
      <c r="E23" t="inlineStr">
        <is>
          <t>Coca-Cola Form 10-K FY2025</t>
        </is>
      </c>
      <c r="F23" t="inlineStr">
        <is>
          <t>หน้า 103</t>
        </is>
      </c>
    </row>
    <row r="24">
      <c r="A24" t="inlineStr">
        <is>
          <t>ต้นทุนหนี้ก่อนภาษี (ตัวแทน)</t>
        </is>
      </c>
      <c r="B24" s="8" t="n">
        <v>0.0568</v>
      </c>
      <c r="C24" t="inlineStr">
        <is>
          <t>ต่อปี</t>
        </is>
      </c>
      <c r="D24" t="inlineStr"/>
      <c r="E24" t="inlineStr">
        <is>
          <t>ServiceNow Form 10-Q Q2 2026</t>
        </is>
      </c>
      <c r="F24" t="inlineStr">
        <is>
          <t>หน้า 19: อัตราที่แท้จริงของหุ้นกู้ 5.40% ปี 2036 ใช้เป็นตัวแทน</t>
        </is>
      </c>
    </row>
    <row r="25">
      <c r="A25" s="5" t="inlineStr">
        <is>
          <t>สมมติฐาน DCF ฐาน (ของผู้เขียน บทที่ 28)</t>
        </is>
      </c>
    </row>
    <row r="26">
      <c r="A26" t="inlineStr">
        <is>
          <t>การเติบโตของรายได้ปีที่ 1–5</t>
        </is>
      </c>
      <c r="B26" s="10" t="n">
        <v>0.05</v>
      </c>
      <c r="C26" t="inlineStr">
        <is>
          <t>ต่อปี</t>
        </is>
      </c>
      <c r="D26" t="inlineStr"/>
      <c r="E26" t="inlineStr">
        <is>
          <t>ประมาณการโดยผู้เขียน</t>
        </is>
      </c>
      <c r="F26" t="inlineStr">
        <is>
          <t>บทที่ 28</t>
        </is>
      </c>
    </row>
    <row r="27">
      <c r="A27" t="inlineStr">
        <is>
          <t>อัตรากำไรจากการดำเนินงาน</t>
        </is>
      </c>
      <c r="B27" s="10" t="n">
        <v>0.29</v>
      </c>
      <c r="C27" t="inlineStr">
        <is>
          <t>สัดส่วน</t>
        </is>
      </c>
      <c r="D27" t="inlineStr"/>
      <c r="E27" t="inlineStr">
        <is>
          <t>ประมาณการโดยผู้เขียน</t>
        </is>
      </c>
      <c r="F27" t="inlineStr">
        <is>
          <t>FY25 28.7% · TTM 29.6%</t>
        </is>
      </c>
    </row>
    <row r="28">
      <c r="A28" t="inlineStr">
        <is>
          <t>อัตราภาษี</t>
        </is>
      </c>
      <c r="B28" s="10" t="n">
        <v>0.2</v>
      </c>
      <c r="C28" t="inlineStr">
        <is>
          <t>สัดส่วน</t>
        </is>
      </c>
      <c r="D28" t="inlineStr"/>
      <c r="E28" t="inlineStr">
        <is>
          <t>ประมาณการโดยผู้เขียน</t>
        </is>
      </c>
      <c r="F28" t="inlineStr">
        <is>
          <t>ETR FY25 17.9%</t>
        </is>
      </c>
    </row>
    <row r="29">
      <c r="A29" t="inlineStr">
        <is>
          <t>RONIC</t>
        </is>
      </c>
      <c r="B29" s="10" t="n">
        <v>0.4</v>
      </c>
      <c r="C29" t="inlineStr">
        <is>
          <t>สัดส่วน</t>
        </is>
      </c>
      <c r="D29" t="inlineStr"/>
      <c r="E29" t="inlineStr">
        <is>
          <t>ประมาณการโดยผู้เขียน</t>
        </is>
      </c>
      <c r="F29" t="inlineStr">
        <is>
          <t>ภาค 5: incremental ROIC 24–80%</t>
        </is>
      </c>
    </row>
    <row r="30">
      <c r="A30" t="inlineStr">
        <is>
          <t>WACC ที่ใช้ในฐาน</t>
        </is>
      </c>
      <c r="B30" s="8" t="n">
        <v>0.075</v>
      </c>
      <c r="C30" t="inlineStr">
        <is>
          <t>ต่อปี</t>
        </is>
      </c>
      <c r="D30" t="inlineStr"/>
      <c r="E30" t="inlineStr">
        <is>
          <t>ประมาณการโดยผู้เขียน</t>
        </is>
      </c>
      <c r="F30" t="inlineStr">
        <is>
          <t>ปัดจาก WACC ในแผ่น WACC</t>
        </is>
      </c>
    </row>
    <row r="31">
      <c r="A31" t="inlineStr">
        <is>
          <t>การเติบโตระยะยาว</t>
        </is>
      </c>
      <c r="B31" s="8" t="n">
        <v>0.03</v>
      </c>
      <c r="C31" t="inlineStr">
        <is>
          <t>ต่อปี</t>
        </is>
      </c>
      <c r="D31" t="inlineStr"/>
      <c r="E31" t="inlineStr">
        <is>
          <t>ประมาณการโดยผู้เขียน</t>
        </is>
      </c>
      <c r="F31" t="inlineStr"/>
    </row>
    <row r="32">
      <c r="A32" s="5" t="inlineStr">
        <is>
          <t>ฉากทัศน์ (บทที่ 29)</t>
        </is>
      </c>
    </row>
    <row r="33">
      <c r="A33" t="inlineStr">
        <is>
          <t>bear: การเติบโตปีที่ 1–5</t>
        </is>
      </c>
      <c r="B33" s="10" t="n">
        <v>0.03</v>
      </c>
      <c r="C33" t="inlineStr">
        <is>
          <t>ต่อปี</t>
        </is>
      </c>
      <c r="D33" t="inlineStr"/>
      <c r="E33" t="inlineStr">
        <is>
          <t>ประมาณการโดยผู้เขียน</t>
        </is>
      </c>
      <c r="F33" t="inlineStr">
        <is>
          <t>บทที่ 29</t>
        </is>
      </c>
    </row>
    <row r="34">
      <c r="A34" t="inlineStr">
        <is>
          <t>bear: อัตรากำไร</t>
        </is>
      </c>
      <c r="B34" s="10" t="n">
        <v>0.27</v>
      </c>
      <c r="C34" t="inlineStr">
        <is>
          <t>สัดส่วน</t>
        </is>
      </c>
      <c r="D34" t="inlineStr"/>
      <c r="E34" t="inlineStr">
        <is>
          <t>ประมาณการโดยผู้เขียน</t>
        </is>
      </c>
      <c r="F34" t="inlineStr"/>
    </row>
    <row r="35">
      <c r="A35" t="inlineStr">
        <is>
          <t>bear: อัตราภาษี</t>
        </is>
      </c>
      <c r="B35" s="10" t="n">
        <v>0.235</v>
      </c>
      <c r="C35" t="inlineStr">
        <is>
          <t>สัดส่วน</t>
        </is>
      </c>
      <c r="D35" t="inlineStr"/>
      <c r="E35" t="inlineStr">
        <is>
          <t>ประมาณการโดยผู้เขียน</t>
        </is>
      </c>
      <c r="F35" t="inlineStr"/>
    </row>
    <row r="36">
      <c r="A36" t="inlineStr">
        <is>
          <t>bear: RONIC</t>
        </is>
      </c>
      <c r="B36" s="10" t="n">
        <v>0.25</v>
      </c>
      <c r="C36" t="inlineStr">
        <is>
          <t>สัดส่วน</t>
        </is>
      </c>
      <c r="D36" t="inlineStr"/>
      <c r="E36" t="inlineStr">
        <is>
          <t>ประมาณการโดยผู้เขียน</t>
        </is>
      </c>
      <c r="F36" t="inlineStr"/>
    </row>
    <row r="37">
      <c r="A37" t="inlineStr">
        <is>
          <t>bear: WACC</t>
        </is>
      </c>
      <c r="B37" s="8" t="n">
        <v>0.08</v>
      </c>
      <c r="C37" t="inlineStr">
        <is>
          <t>ต่อปี</t>
        </is>
      </c>
      <c r="D37" t="inlineStr"/>
      <c r="E37" t="inlineStr">
        <is>
          <t>ประมาณการโดยผู้เขียน</t>
        </is>
      </c>
      <c r="F37" t="inlineStr"/>
    </row>
    <row r="38">
      <c r="A38" t="inlineStr">
        <is>
          <t>bear: การเติบโตระยะยาว</t>
        </is>
      </c>
      <c r="B38" s="8" t="n">
        <v>0.025</v>
      </c>
      <c r="C38" t="inlineStr">
        <is>
          <t>ต่อปี</t>
        </is>
      </c>
      <c r="D38" t="inlineStr"/>
      <c r="E38" t="inlineStr">
        <is>
          <t>ประมาณการโดยผู้เขียน</t>
        </is>
      </c>
      <c r="F38" t="inlineStr"/>
    </row>
    <row r="39">
      <c r="A39" t="inlineStr">
        <is>
          <t>bear: ปรับคดีภาษี IRS</t>
        </is>
      </c>
      <c r="B39" s="7" t="n">
        <v>-14000</v>
      </c>
      <c r="C39" t="inlineStr">
        <is>
          <t>ล้าน USD</t>
        </is>
      </c>
      <c r="D39" t="inlineStr"/>
      <c r="E39" t="inlineStr">
        <is>
          <t>Coca-Cola Form 10-K FY2025</t>
        </is>
      </c>
      <c r="F39" t="inlineStr">
        <is>
          <t>หน้า 31: ภาษีและดอกเบี้ยค้าง ~14bn (bear) · เงินมัดจำ 6.0bn + ดอกเบี้ยค้างรับ 385m (bull)</t>
        </is>
      </c>
    </row>
    <row r="40">
      <c r="A40" t="inlineStr">
        <is>
          <t>bull: การเติบโตปีที่ 1–5</t>
        </is>
      </c>
      <c r="B40" s="10" t="n">
        <v>0.07000000000000001</v>
      </c>
      <c r="C40" t="inlineStr">
        <is>
          <t>ต่อปี</t>
        </is>
      </c>
      <c r="D40" t="inlineStr"/>
      <c r="E40" t="inlineStr">
        <is>
          <t>ประมาณการโดยผู้เขียน</t>
        </is>
      </c>
      <c r="F40" t="inlineStr">
        <is>
          <t>บทที่ 29</t>
        </is>
      </c>
    </row>
    <row r="41">
      <c r="A41" t="inlineStr">
        <is>
          <t>bull: อัตรากำไร</t>
        </is>
      </c>
      <c r="B41" s="10" t="n">
        <v>0.31</v>
      </c>
      <c r="C41" t="inlineStr">
        <is>
          <t>สัดส่วน</t>
        </is>
      </c>
      <c r="D41" t="inlineStr"/>
      <c r="E41" t="inlineStr">
        <is>
          <t>ประมาณการโดยผู้เขียน</t>
        </is>
      </c>
      <c r="F41" t="inlineStr"/>
    </row>
    <row r="42">
      <c r="A42" t="inlineStr">
        <is>
          <t>bull: อัตราภาษี</t>
        </is>
      </c>
      <c r="B42" s="10" t="n">
        <v>0.2</v>
      </c>
      <c r="C42" t="inlineStr">
        <is>
          <t>สัดส่วน</t>
        </is>
      </c>
      <c r="D42" t="inlineStr"/>
      <c r="E42" t="inlineStr">
        <is>
          <t>ประมาณการโดยผู้เขียน</t>
        </is>
      </c>
      <c r="F42" t="inlineStr"/>
    </row>
    <row r="43">
      <c r="A43" t="inlineStr">
        <is>
          <t>bull: RONIC</t>
        </is>
      </c>
      <c r="B43" s="10" t="n">
        <v>0.6</v>
      </c>
      <c r="C43" t="inlineStr">
        <is>
          <t>สัดส่วน</t>
        </is>
      </c>
      <c r="D43" t="inlineStr"/>
      <c r="E43" t="inlineStr">
        <is>
          <t>ประมาณการโดยผู้เขียน</t>
        </is>
      </c>
      <c r="F43" t="inlineStr"/>
    </row>
    <row r="44">
      <c r="A44" t="inlineStr">
        <is>
          <t>bull: WACC</t>
        </is>
      </c>
      <c r="B44" s="8" t="n">
        <v>0.07000000000000001</v>
      </c>
      <c r="C44" t="inlineStr">
        <is>
          <t>ต่อปี</t>
        </is>
      </c>
      <c r="D44" t="inlineStr"/>
      <c r="E44" t="inlineStr">
        <is>
          <t>ประมาณการโดยผู้เขียน</t>
        </is>
      </c>
      <c r="F44" t="inlineStr"/>
    </row>
    <row r="45">
      <c r="A45" t="inlineStr">
        <is>
          <t>bull: การเติบโตระยะยาว</t>
        </is>
      </c>
      <c r="B45" s="8" t="n">
        <v>0.035</v>
      </c>
      <c r="C45" t="inlineStr">
        <is>
          <t>ต่อปี</t>
        </is>
      </c>
      <c r="D45" t="inlineStr"/>
      <c r="E45" t="inlineStr">
        <is>
          <t>ประมาณการโดยผู้เขียน</t>
        </is>
      </c>
      <c r="F45" t="inlineStr"/>
    </row>
    <row r="46">
      <c r="A46" t="inlineStr">
        <is>
          <t>bull: ปรับคดีภาษี IRS</t>
        </is>
      </c>
      <c r="B46" s="7" t="n">
        <v>6385</v>
      </c>
      <c r="C46" t="inlineStr">
        <is>
          <t>ล้าน USD</t>
        </is>
      </c>
      <c r="D46" t="inlineStr"/>
      <c r="E46" t="inlineStr">
        <is>
          <t>Coca-Cola Form 10-K FY2025</t>
        </is>
      </c>
      <c r="F46" t="inlineStr">
        <is>
          <t>หน้า 31: ภาษีและดอกเบี้ยค้าง ~14bn (bear) · เงินมัดจำ 6.0bn + ดอกเบี้ยค้างรับ 385m (bull)</t>
        </is>
      </c>
    </row>
    <row r="47">
      <c r="A47" s="5" t="inlineStr">
        <is>
          <t>Gordon DDM (บทที่ 30)</t>
        </is>
      </c>
    </row>
    <row r="48">
      <c r="A48" t="inlineStr">
        <is>
          <t>เงินปันผลต่อปี (0.53 × 4)</t>
        </is>
      </c>
      <c r="B48" s="6" t="n">
        <v>2.12</v>
      </c>
      <c r="C48" t="inlineStr">
        <is>
          <t>USD</t>
        </is>
      </c>
      <c r="D48" t="inlineStr">
        <is>
          <t>2026</t>
        </is>
      </c>
      <c r="E48" t="inlineStr">
        <is>
          <t>Coca-Cola Form 10-Q Q2 2026</t>
        </is>
      </c>
      <c r="F48" t="inlineStr">
        <is>
          <t>หน้า 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0" customWidth="1" min="3" max="3"/>
  </cols>
  <sheetData>
    <row r="1">
      <c r="A1" s="4" t="inlineStr">
        <is>
          <t>รายการ</t>
        </is>
      </c>
      <c r="B1" s="4" t="inlineStr">
        <is>
          <t>ค่า</t>
        </is>
      </c>
      <c r="C1" s="4" t="inlineStr">
        <is>
          <t>หน่วย/หมายเหตุ</t>
        </is>
      </c>
    </row>
    <row r="2">
      <c r="A2" t="inlineStr">
        <is>
          <t>มูลค่าตลาดของส่วนของผู้ถือหุ้น</t>
        </is>
      </c>
      <c r="B2" s="11">
        <f>price*sh_out</f>
        <v/>
      </c>
    </row>
    <row r="3">
      <c r="A3" t="inlineStr">
        <is>
          <t>D/E</t>
        </is>
      </c>
      <c r="B3" s="12">
        <f>debt/mcap</f>
        <v/>
      </c>
    </row>
    <row r="4">
      <c r="A4" t="inlineStr">
        <is>
          <t>เบตามีหนี้</t>
        </is>
      </c>
      <c r="B4" s="13">
        <f>beta_u*(1+(1-tax_us)*de)</f>
        <v/>
      </c>
    </row>
    <row r="5">
      <c r="A5" t="inlineStr">
        <is>
          <t>ke</t>
        </is>
      </c>
      <c r="B5" s="14">
        <f>rf+beta_l*erp</f>
        <v/>
      </c>
    </row>
    <row r="6">
      <c r="A6" t="inlineStr">
        <is>
          <t>WACC</t>
        </is>
      </c>
      <c r="B6" s="14">
        <f>mcap/(mcap+debt)*ke+debt/(mcap+debt)*kd*(1-tax_us)</f>
        <v/>
      </c>
    </row>
    <row r="7">
      <c r="A7" t="inlineStr">
        <is>
          <t>รายได้ TTM = FY2025 + H1 2026 − H1 2025</t>
        </is>
      </c>
      <c r="B7" s="11">
        <f>rev_fy+rev_h26-rev_h25</f>
        <v/>
      </c>
    </row>
    <row r="8">
      <c r="A8" t="inlineStr">
        <is>
          <t>อัตรากำไร TTM</t>
        </is>
      </c>
      <c r="B8" s="12">
        <f>(ebit_fy+ebit_h26-ebit_h25)/rev_ttm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รายการ</t>
        </is>
      </c>
      <c r="B1" s="4" t="inlineStr">
        <is>
          <t>bear</t>
        </is>
      </c>
      <c r="C1" s="4" t="inlineStr">
        <is>
          <t>base</t>
        </is>
      </c>
      <c r="D1" s="4" t="inlineStr">
        <is>
          <t>bull</t>
        </is>
      </c>
    </row>
    <row r="2">
      <c r="A2" t="inlineStr">
        <is>
          <t>การเติบโตปีที่ 1–5</t>
        </is>
      </c>
      <c r="B2" s="12">
        <f>g_bear</f>
        <v/>
      </c>
      <c r="C2" s="12">
        <f>g_base</f>
        <v/>
      </c>
      <c r="D2" s="12">
        <f>g_bull</f>
        <v/>
      </c>
    </row>
    <row r="3">
      <c r="A3" t="inlineStr">
        <is>
          <t>อัตรากำไร</t>
        </is>
      </c>
      <c r="B3" s="12">
        <f>m_bear</f>
        <v/>
      </c>
      <c r="C3" s="12">
        <f>m_base</f>
        <v/>
      </c>
      <c r="D3" s="12">
        <f>m_bull</f>
        <v/>
      </c>
    </row>
    <row r="4">
      <c r="A4" t="inlineStr">
        <is>
          <t>อัตราภาษี</t>
        </is>
      </c>
      <c r="B4" s="12">
        <f>t_bear</f>
        <v/>
      </c>
      <c r="C4" s="12">
        <f>t_base</f>
        <v/>
      </c>
      <c r="D4" s="12">
        <f>t_bull</f>
        <v/>
      </c>
    </row>
    <row r="5">
      <c r="A5" t="inlineStr">
        <is>
          <t>RONIC</t>
        </is>
      </c>
      <c r="B5" s="12">
        <f>ronic_bear</f>
        <v/>
      </c>
      <c r="C5" s="12">
        <f>ronic_base</f>
        <v/>
      </c>
      <c r="D5" s="12">
        <f>ronic_bull</f>
        <v/>
      </c>
    </row>
    <row r="6">
      <c r="A6" t="inlineStr">
        <is>
          <t>WACC</t>
        </is>
      </c>
      <c r="B6" s="14">
        <f>wacc_bear</f>
        <v/>
      </c>
      <c r="C6" s="14">
        <f>wacc_base</f>
        <v/>
      </c>
      <c r="D6" s="14">
        <f>wacc_bull</f>
        <v/>
      </c>
    </row>
    <row r="7">
      <c r="A7" t="inlineStr">
        <is>
          <t>การเติบโตระยะยาว</t>
        </is>
      </c>
      <c r="B7" s="14">
        <f>gt_bear</f>
        <v/>
      </c>
      <c r="C7" s="14">
        <f>gt_base</f>
        <v/>
      </c>
      <c r="D7" s="14">
        <f>gt_bull</f>
        <v/>
      </c>
    </row>
    <row r="8">
      <c r="A8" t="inlineStr">
        <is>
          <t>ปรับคดีภาษี</t>
        </is>
      </c>
      <c r="B8" s="11">
        <f>adj_bear</f>
        <v/>
      </c>
      <c r="C8" s="11">
        <f>0</f>
        <v/>
      </c>
      <c r="D8" s="11">
        <f>adj_bull</f>
        <v/>
      </c>
    </row>
    <row r="9"/>
    <row r="10">
      <c r="A10" s="5" t="inlineStr">
        <is>
          <t>FCFF_t = รายได้ TTM × (1 + g)^t × อัตรากำไร × (1 − T) × (1 − g ÷ RONIC) คิดลดด้วย (1 + WACC)^t</t>
        </is>
      </c>
    </row>
    <row r="11">
      <c r="A11" t="inlineStr">
        <is>
          <t>FCFF ปีที่ 1 (คิดลดแล้ว)</t>
        </is>
      </c>
      <c r="B11" s="11">
        <f>rev_ttm*(1+B$2)^1*B$3*(1-B$4)*(1-B$2/B$5)/(1+B$6)^1</f>
        <v/>
      </c>
      <c r="C11" s="11">
        <f>rev_ttm*(1+C$2)^1*C$3*(1-C$4)*(1-C$2/C$5)/(1+C$6)^1</f>
        <v/>
      </c>
      <c r="D11" s="11">
        <f>rev_ttm*(1+D$2)^1*D$3*(1-D$4)*(1-D$2/D$5)/(1+D$6)^1</f>
        <v/>
      </c>
    </row>
    <row r="12">
      <c r="A12" t="inlineStr">
        <is>
          <t>FCFF ปีที่ 2 (คิดลดแล้ว)</t>
        </is>
      </c>
      <c r="B12" s="11">
        <f>rev_ttm*(1+B$2)^2*B$3*(1-B$4)*(1-B$2/B$5)/(1+B$6)^2</f>
        <v/>
      </c>
      <c r="C12" s="11">
        <f>rev_ttm*(1+C$2)^2*C$3*(1-C$4)*(1-C$2/C$5)/(1+C$6)^2</f>
        <v/>
      </c>
      <c r="D12" s="11">
        <f>rev_ttm*(1+D$2)^2*D$3*(1-D$4)*(1-D$2/D$5)/(1+D$6)^2</f>
        <v/>
      </c>
    </row>
    <row r="13">
      <c r="A13" t="inlineStr">
        <is>
          <t>FCFF ปีที่ 3 (คิดลดแล้ว)</t>
        </is>
      </c>
      <c r="B13" s="11">
        <f>rev_ttm*(1+B$2)^3*B$3*(1-B$4)*(1-B$2/B$5)/(1+B$6)^3</f>
        <v/>
      </c>
      <c r="C13" s="11">
        <f>rev_ttm*(1+C$2)^3*C$3*(1-C$4)*(1-C$2/C$5)/(1+C$6)^3</f>
        <v/>
      </c>
      <c r="D13" s="11">
        <f>rev_ttm*(1+D$2)^3*D$3*(1-D$4)*(1-D$2/D$5)/(1+D$6)^3</f>
        <v/>
      </c>
    </row>
    <row r="14">
      <c r="A14" t="inlineStr">
        <is>
          <t>FCFF ปีที่ 4 (คิดลดแล้ว)</t>
        </is>
      </c>
      <c r="B14" s="11">
        <f>rev_ttm*(1+B$2)^4*B$3*(1-B$4)*(1-B$2/B$5)/(1+B$6)^4</f>
        <v/>
      </c>
      <c r="C14" s="11">
        <f>rev_ttm*(1+C$2)^4*C$3*(1-C$4)*(1-C$2/C$5)/(1+C$6)^4</f>
        <v/>
      </c>
      <c r="D14" s="11">
        <f>rev_ttm*(1+D$2)^4*D$3*(1-D$4)*(1-D$2/D$5)/(1+D$6)^4</f>
        <v/>
      </c>
    </row>
    <row r="15">
      <c r="A15" t="inlineStr">
        <is>
          <t>FCFF ปีที่ 5 (คิดลดแล้ว)</t>
        </is>
      </c>
      <c r="B15" s="11">
        <f>rev_ttm*(1+B$2)^5*B$3*(1-B$4)*(1-B$2/B$5)/(1+B$6)^5</f>
        <v/>
      </c>
      <c r="C15" s="11">
        <f>rev_ttm*(1+C$2)^5*C$3*(1-C$4)*(1-C$2/C$5)/(1+C$6)^5</f>
        <v/>
      </c>
      <c r="D15" s="11">
        <f>rev_ttm*(1+D$2)^5*D$3*(1-D$4)*(1-D$2/D$5)/(1+D$6)^5</f>
        <v/>
      </c>
    </row>
    <row r="16">
      <c r="A16" t="inlineStr">
        <is>
          <t>PV ของ FCFF ห้าปี</t>
        </is>
      </c>
      <c r="B16" s="11">
        <f>SUM(B11:B15)</f>
        <v/>
      </c>
      <c r="C16" s="11">
        <f>SUM(C11:C15)</f>
        <v/>
      </c>
      <c r="D16" s="11">
        <f>SUM(D11:D15)</f>
        <v/>
      </c>
    </row>
    <row r="17">
      <c r="A17" t="inlineStr">
        <is>
          <t>NOPAT ปีที่ 5</t>
        </is>
      </c>
      <c r="B17" s="11">
        <f>rev_ttm*(1+B2)^5*B3*(1-B4)</f>
        <v/>
      </c>
      <c r="C17" s="11">
        <f>rev_ttm*(1+C2)^5*C3*(1-C4)</f>
        <v/>
      </c>
      <c r="D17" s="11">
        <f>rev_ttm*(1+D2)^5*D3*(1-D4)</f>
        <v/>
      </c>
    </row>
    <row r="18">
      <c r="A18" t="inlineStr">
        <is>
          <t>มูลค่าปลายงวด TV5 = NOPAT5 × (1 + g) × (1 − g ÷ RONIC) ÷ (WACC − g)</t>
        </is>
      </c>
      <c r="B18" s="11">
        <f>B17*(1+B7)*(1-B7/B5)/(B6-B7)</f>
        <v/>
      </c>
      <c r="C18" s="11">
        <f>C17*(1+C7)*(1-C7/C5)/(C6-C7)</f>
        <v/>
      </c>
      <c r="D18" s="11">
        <f>D17*(1+D7)*(1-D7/D5)/(D6-D7)</f>
        <v/>
      </c>
    </row>
    <row r="19">
      <c r="A19" t="inlineStr">
        <is>
          <t>EV</t>
        </is>
      </c>
      <c r="B19" s="11">
        <f>B16+B18/(1+B6)^5</f>
        <v/>
      </c>
      <c r="C19" s="11">
        <f>C16+C18/(1+C6)^5</f>
        <v/>
      </c>
      <c r="D19" s="11">
        <f>D16+D18/(1+D6)^5</f>
        <v/>
      </c>
    </row>
    <row r="20">
      <c r="A20" t="inlineStr">
        <is>
          <t>สัดส่วน TV ใน EV</t>
        </is>
      </c>
      <c r="B20" s="12">
        <f>B18/(1+B6)^5/B19</f>
        <v/>
      </c>
      <c r="C20" s="12">
        <f>C18/(1+C6)^5/C19</f>
        <v/>
      </c>
      <c r="D20" s="12">
        <f>D18/(1+D6)^5/D19</f>
        <v/>
      </c>
    </row>
    <row r="21">
      <c r="A21" t="inlineStr">
        <is>
          <t>มูลค่าส่วนของผู้ถือหุ้น = EV + เงินสด − หนี้ − NCI + เงินลงทุนส่วนได้เสีย + ปรับคดี</t>
        </is>
      </c>
      <c r="B21" s="11">
        <f>B19+cash-debt-nci+eqinv+B8</f>
        <v/>
      </c>
      <c r="C21" s="11">
        <f>C19+cash-debt-nci+eqinv+C8</f>
        <v/>
      </c>
      <c r="D21" s="11">
        <f>D19+cash-debt-nci+eqinv+D8</f>
        <v/>
      </c>
    </row>
    <row r="22">
      <c r="A22" s="5" t="inlineStr">
        <is>
          <t>มูลค่าต่อหุ้น (ปรับลด)</t>
        </is>
      </c>
      <c r="B22" s="15">
        <f>B21/sh_dil</f>
        <v/>
      </c>
      <c r="C22" s="15">
        <f>C21/sh_dil</f>
        <v/>
      </c>
      <c r="D22" s="15">
        <f>D21/sh_dil</f>
        <v/>
      </c>
    </row>
    <row r="23"/>
    <row r="24">
      <c r="A24" t="inlineStr">
        <is>
          <t>Margin of Safety เทียบราคา: (V − P) ÷ V</t>
        </is>
      </c>
      <c r="B24" s="12">
        <f>(B22-price)/B22</f>
        <v/>
      </c>
      <c r="C24" s="12">
        <f>(C22-price)/C22</f>
        <v/>
      </c>
      <c r="D24" s="12">
        <f>(D22-price)/D22</f>
        <v/>
      </c>
    </row>
    <row r="25"/>
    <row r="26">
      <c r="A26" t="inlineStr">
        <is>
          <t>ฉากทัศน์ใช้สมมติฐานของผู้เขียน ไม่ใช่การคาดการณ์ อ่านเป็นช่วง ไม่ใช่ราคาเป้าหมาย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มูลค่าต่อหุ้นกรณีฐาน: WACC × g ระยะยาว</t>
        </is>
      </c>
      <c r="B1" s="4" t="inlineStr"/>
      <c r="C1" s="4" t="inlineStr"/>
      <c r="D1" s="4" t="inlineStr"/>
    </row>
    <row r="2">
      <c r="B2" s="16" t="n">
        <v>0.025</v>
      </c>
      <c r="C2" s="16" t="n">
        <v>0.03</v>
      </c>
      <c r="D2" s="16" t="n">
        <v>0.035</v>
      </c>
    </row>
    <row r="3">
      <c r="A3" s="16" t="n">
        <v>0.07000000000000001</v>
      </c>
      <c r="B3" s="17">
        <f>(rev_ttm*(1+g_base)^1*m_base*(1-t_base)*(1-g_base/ronic_base)/(1+$A3)^1+rev_ttm*(1+g_base)^2*m_base*(1-t_base)*(1-g_base/ronic_base)/(1+$A3)^2+rev_ttm*(1+g_base)^3*m_base*(1-t_base)*(1-g_base/ronic_base)/(1+$A3)^3+rev_ttm*(1+g_base)^4*m_base*(1-t_base)*(1-g_base/ronic_base)/(1+$A3)^4+rev_ttm*(1+g_base)^5*m_base*(1-t_base)*(1-g_base/ronic_base)/(1+$A3)^5+rev_ttm*(1+g_base)^5*m_base*(1-t_base)*(1+B$2)*(1-B$2/ronic_base)/($A3-B$2)/(1+$A3)^5+cash-debt-nci+eqinv)/sh_dil</f>
        <v/>
      </c>
      <c r="C3" s="17">
        <f>(rev_ttm*(1+g_base)^1*m_base*(1-t_base)*(1-g_base/ronic_base)/(1+$A3)^1+rev_ttm*(1+g_base)^2*m_base*(1-t_base)*(1-g_base/ronic_base)/(1+$A3)^2+rev_ttm*(1+g_base)^3*m_base*(1-t_base)*(1-g_base/ronic_base)/(1+$A3)^3+rev_ttm*(1+g_base)^4*m_base*(1-t_base)*(1-g_base/ronic_base)/(1+$A3)^4+rev_ttm*(1+g_base)^5*m_base*(1-t_base)*(1-g_base/ronic_base)/(1+$A3)^5+rev_ttm*(1+g_base)^5*m_base*(1-t_base)*(1+C$2)*(1-C$2/ronic_base)/($A3-C$2)/(1+$A3)^5+cash-debt-nci+eqinv)/sh_dil</f>
        <v/>
      </c>
      <c r="D3" s="17">
        <f>(rev_ttm*(1+g_base)^1*m_base*(1-t_base)*(1-g_base/ronic_base)/(1+$A3)^1+rev_ttm*(1+g_base)^2*m_base*(1-t_base)*(1-g_base/ronic_base)/(1+$A3)^2+rev_ttm*(1+g_base)^3*m_base*(1-t_base)*(1-g_base/ronic_base)/(1+$A3)^3+rev_ttm*(1+g_base)^4*m_base*(1-t_base)*(1-g_base/ronic_base)/(1+$A3)^4+rev_ttm*(1+g_base)^5*m_base*(1-t_base)*(1-g_base/ronic_base)/(1+$A3)^5+rev_ttm*(1+g_base)^5*m_base*(1-t_base)*(1+D$2)*(1-D$2/ronic_base)/($A3-D$2)/(1+$A3)^5+cash-debt-nci+eqinv)/sh_dil</f>
        <v/>
      </c>
    </row>
    <row r="4">
      <c r="A4" s="16" t="n">
        <v>0.075</v>
      </c>
      <c r="B4" s="17">
        <f>(rev_ttm*(1+g_base)^1*m_base*(1-t_base)*(1-g_base/ronic_base)/(1+$A4)^1+rev_ttm*(1+g_base)^2*m_base*(1-t_base)*(1-g_base/ronic_base)/(1+$A4)^2+rev_ttm*(1+g_base)^3*m_base*(1-t_base)*(1-g_base/ronic_base)/(1+$A4)^3+rev_ttm*(1+g_base)^4*m_base*(1-t_base)*(1-g_base/ronic_base)/(1+$A4)^4+rev_ttm*(1+g_base)^5*m_base*(1-t_base)*(1-g_base/ronic_base)/(1+$A4)^5+rev_ttm*(1+g_base)^5*m_base*(1-t_base)*(1+B$2)*(1-B$2/ronic_base)/($A4-B$2)/(1+$A4)^5+cash-debt-nci+eqinv)/sh_dil</f>
        <v/>
      </c>
      <c r="C4" s="17">
        <f>(rev_ttm*(1+g_base)^1*m_base*(1-t_base)*(1-g_base/ronic_base)/(1+$A4)^1+rev_ttm*(1+g_base)^2*m_base*(1-t_base)*(1-g_base/ronic_base)/(1+$A4)^2+rev_ttm*(1+g_base)^3*m_base*(1-t_base)*(1-g_base/ronic_base)/(1+$A4)^3+rev_ttm*(1+g_base)^4*m_base*(1-t_base)*(1-g_base/ronic_base)/(1+$A4)^4+rev_ttm*(1+g_base)^5*m_base*(1-t_base)*(1-g_base/ronic_base)/(1+$A4)^5+rev_ttm*(1+g_base)^5*m_base*(1-t_base)*(1+C$2)*(1-C$2/ronic_base)/($A4-C$2)/(1+$A4)^5+cash-debt-nci+eqinv)/sh_dil</f>
        <v/>
      </c>
      <c r="D4" s="17">
        <f>(rev_ttm*(1+g_base)^1*m_base*(1-t_base)*(1-g_base/ronic_base)/(1+$A4)^1+rev_ttm*(1+g_base)^2*m_base*(1-t_base)*(1-g_base/ronic_base)/(1+$A4)^2+rev_ttm*(1+g_base)^3*m_base*(1-t_base)*(1-g_base/ronic_base)/(1+$A4)^3+rev_ttm*(1+g_base)^4*m_base*(1-t_base)*(1-g_base/ronic_base)/(1+$A4)^4+rev_ttm*(1+g_base)^5*m_base*(1-t_base)*(1-g_base/ronic_base)/(1+$A4)^5+rev_ttm*(1+g_base)^5*m_base*(1-t_base)*(1+D$2)*(1-D$2/ronic_base)/($A4-D$2)/(1+$A4)^5+cash-debt-nci+eqinv)/sh_dil</f>
        <v/>
      </c>
    </row>
    <row r="5">
      <c r="A5" s="16" t="n">
        <v>0.08</v>
      </c>
      <c r="B5" s="17">
        <f>(rev_ttm*(1+g_base)^1*m_base*(1-t_base)*(1-g_base/ronic_base)/(1+$A5)^1+rev_ttm*(1+g_base)^2*m_base*(1-t_base)*(1-g_base/ronic_base)/(1+$A5)^2+rev_ttm*(1+g_base)^3*m_base*(1-t_base)*(1-g_base/ronic_base)/(1+$A5)^3+rev_ttm*(1+g_base)^4*m_base*(1-t_base)*(1-g_base/ronic_base)/(1+$A5)^4+rev_ttm*(1+g_base)^5*m_base*(1-t_base)*(1-g_base/ronic_base)/(1+$A5)^5+rev_ttm*(1+g_base)^5*m_base*(1-t_base)*(1+B$2)*(1-B$2/ronic_base)/($A5-B$2)/(1+$A5)^5+cash-debt-nci+eqinv)/sh_dil</f>
        <v/>
      </c>
      <c r="C5" s="17">
        <f>(rev_ttm*(1+g_base)^1*m_base*(1-t_base)*(1-g_base/ronic_base)/(1+$A5)^1+rev_ttm*(1+g_base)^2*m_base*(1-t_base)*(1-g_base/ronic_base)/(1+$A5)^2+rev_ttm*(1+g_base)^3*m_base*(1-t_base)*(1-g_base/ronic_base)/(1+$A5)^3+rev_ttm*(1+g_base)^4*m_base*(1-t_base)*(1-g_base/ronic_base)/(1+$A5)^4+rev_ttm*(1+g_base)^5*m_base*(1-t_base)*(1-g_base/ronic_base)/(1+$A5)^5+rev_ttm*(1+g_base)^5*m_base*(1-t_base)*(1+C$2)*(1-C$2/ronic_base)/($A5-C$2)/(1+$A5)^5+cash-debt-nci+eqinv)/sh_dil</f>
        <v/>
      </c>
      <c r="D5" s="17">
        <f>(rev_ttm*(1+g_base)^1*m_base*(1-t_base)*(1-g_base/ronic_base)/(1+$A5)^1+rev_ttm*(1+g_base)^2*m_base*(1-t_base)*(1-g_base/ronic_base)/(1+$A5)^2+rev_ttm*(1+g_base)^3*m_base*(1-t_base)*(1-g_base/ronic_base)/(1+$A5)^3+rev_ttm*(1+g_base)^4*m_base*(1-t_base)*(1-g_base/ronic_base)/(1+$A5)^4+rev_ttm*(1+g_base)^5*m_base*(1-t_base)*(1-g_base/ronic_base)/(1+$A5)^5+rev_ttm*(1+g_base)^5*m_base*(1-t_base)*(1+D$2)*(1-D$2/ronic_base)/($A5-D$2)/(1+$A5)^5+cash-debt-nci+eqinv)/sh_dil</f>
        <v/>
      </c>
    </row>
    <row r="6"/>
    <row r="7">
      <c r="A7" t="inlineStr">
        <is>
          <t>ค่าในหัวแถวและหัวคอลัมน์ (สีเหลือง) เปลี่ยนได้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0" customWidth="1" min="3" max="3"/>
  </cols>
  <sheetData>
    <row r="1">
      <c r="A1" s="4" t="inlineStr">
        <is>
          <t>รายการ</t>
        </is>
      </c>
      <c r="B1" s="4" t="inlineStr">
        <is>
          <t>ค่า</t>
        </is>
      </c>
      <c r="C1" s="4" t="inlineStr">
        <is>
          <t>หน่วย/หมายเหตุ</t>
        </is>
      </c>
    </row>
    <row r="2">
      <c r="A2" t="inlineStr">
        <is>
          <t>การเติบโตที่ราคาสะท้อน = ke − DPS1 ÷ P (ke จากแผ่น WACC)</t>
        </is>
      </c>
      <c r="B2" s="14">
        <f>ke-dps_1/price</f>
        <v/>
      </c>
    </row>
    <row r="3">
      <c r="A3" t="inlineStr">
        <is>
          <t>มูลค่า Gordon ที่ g = 3%</t>
        </is>
      </c>
      <c r="B3" s="17">
        <f>dps_1/(ke-0.03)</f>
        <v/>
      </c>
    </row>
    <row r="4">
      <c r="A4" t="inlineStr">
        <is>
          <t>มูลค่า Gordon ที่ g = 4%</t>
        </is>
      </c>
      <c r="B4" s="17">
        <f>dps_1/(ke-0.04)</f>
        <v/>
      </c>
    </row>
    <row r="5">
      <c r="A5" t="inlineStr">
        <is>
          <t>มูลค่า Gordon ที่ g = 5%</t>
        </is>
      </c>
      <c r="B5" s="17">
        <f>dps_1/(ke-0.05)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8" customWidth="1" min="3" max="3"/>
    <col width="12" customWidth="1" min="4" max="4"/>
    <col width="30" customWidth="1" min="5" max="5"/>
  </cols>
  <sheetData>
    <row r="1">
      <c r="A1" s="4" t="inlineStr">
        <is>
          <t>รายการ</t>
        </is>
      </c>
      <c r="B1" s="4" t="inlineStr">
        <is>
          <t>ค่าในโมเดล</t>
        </is>
      </c>
      <c r="C1" s="4" t="inlineStr">
        <is>
          <t>ค่าที่พิมพ์ในหนังสือ</t>
        </is>
      </c>
      <c r="D1" s="4" t="inlineStr">
        <is>
          <t>ผลต่าง</t>
        </is>
      </c>
      <c r="E1" s="4" t="inlineStr">
        <is>
          <t>บท/ตาราง</t>
        </is>
      </c>
    </row>
    <row r="2">
      <c r="A2" t="inlineStr">
        <is>
          <t>ke (bottom-up)</t>
        </is>
      </c>
      <c r="B2" s="14">
        <f>ke</f>
        <v/>
      </c>
      <c r="C2" s="14" t="n">
        <v>0.0786</v>
      </c>
      <c r="D2" s="14">
        <f>B2-C2</f>
        <v/>
      </c>
      <c r="E2" t="inlineStr">
        <is>
          <t>บทที่ 27 · C27</t>
        </is>
      </c>
    </row>
    <row r="3">
      <c r="A3" t="inlineStr">
        <is>
          <t>มูลค่าต่อหุ้น กรณีฐาน</t>
        </is>
      </c>
      <c r="B3" s="17">
        <f>v_base</f>
        <v/>
      </c>
      <c r="C3" s="17" t="n">
        <v>60</v>
      </c>
      <c r="D3" s="17">
        <f>B3-C3</f>
        <v/>
      </c>
      <c r="E3" t="inlineStr">
        <is>
          <t>บทที่ 28 (≈60 USD)</t>
        </is>
      </c>
    </row>
    <row r="4">
      <c r="A4" t="inlineStr">
        <is>
          <t>มูลค่าต่อหุ้น bear</t>
        </is>
      </c>
      <c r="B4" s="17">
        <f>v_bear</f>
        <v/>
      </c>
      <c r="C4" s="17" t="n">
        <v>36</v>
      </c>
      <c r="D4" s="17">
        <f>B4-C4</f>
        <v/>
      </c>
      <c r="E4" t="inlineStr">
        <is>
          <t>บทที่ 29 (36/60/92)</t>
        </is>
      </c>
    </row>
    <row r="5">
      <c r="A5" t="inlineStr">
        <is>
          <t>มูลค่าต่อหุ้น bull</t>
        </is>
      </c>
      <c r="B5" s="17">
        <f>v_bull</f>
        <v/>
      </c>
      <c r="C5" s="17" t="n">
        <v>92</v>
      </c>
      <c r="D5" s="17">
        <f>B5-C5</f>
        <v/>
      </c>
      <c r="E5" t="inlineStr">
        <is>
          <t>บทที่ 29 (36/60/92)</t>
        </is>
      </c>
    </row>
    <row r="6">
      <c r="A6" t="inlineStr">
        <is>
          <t>Gordon: การเติบโตที่ราคาสะท้อน</t>
        </is>
      </c>
      <c r="B6" s="14">
        <f>ke-dps_1/price</f>
        <v/>
      </c>
      <c r="C6" s="14" t="n">
        <v>0.054</v>
      </c>
      <c r="D6" s="14">
        <f>B6-C6</f>
        <v/>
      </c>
      <c r="E6" t="inlineStr">
        <is>
          <t>บทที่ 30.1 (5.4%)</t>
        </is>
      </c>
    </row>
    <row r="7"/>
    <row r="8">
      <c r="A8" t="inlineStr">
        <is>
          <t>ค่าในหนังสือปัดเศษแล้ว ผลต่างเล็กน้อยจากการปัดเศษเป็นเรื่องปกติ ค่าที่พิมพ์ในคอลัมน์ C ใช้ตรวจเท่านั้น ไม่ใช่ข้อมูลนำเข้า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2026-10-11T08:30:25Z</dcterms:created>
  <dcterms:modified xmlns:dcterms="http://purl.org/dc/terms/" xmlns:xsi="http://www.w3.org/2001/XMLSchema-instance" xsi:type="dcterms:W3CDTF">2026-10-11T08:30:25Z</dcterms:modified>
</cp:coreProperties>
</file>