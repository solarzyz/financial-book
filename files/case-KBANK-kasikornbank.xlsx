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Credit cost × ke" sheetId="4" state="visible" r:id="rId4"/>
    <sheet xmlns:r="http://schemas.openxmlformats.org/officeDocument/2006/relationships" name="DDM" sheetId="5" state="visible" r:id="rId5"/>
    <sheet xmlns:r="http://schemas.openxmlformats.org/officeDocument/2006/relationships" name="ตรวจกับหนังสือ" sheetId="6" state="visible" r:id="rId6"/>
  </sheets>
  <definedNames>
    <definedName name="price">'Inputs'!$B$2</definedName>
    <definedName name="eq_h1">'Inputs'!$B$3</definedName>
    <definedName name="sh_issued">'Inputs'!$B$4</definedName>
    <definedName name="sh_treas">'Inputs'!$B$5</definedName>
    <definedName name="opinc">'Inputs'!$B$7</definedName>
    <definedName name="opex">'Inputs'!$B$8</definedName>
    <definedName name="ecl">'Inputs'!$B$9</definedName>
    <definedName name="ebt">'Inputs'!$B$10</definedName>
    <definedName name="ni">'Inputs'!$B$11</definedName>
    <definedName name="loans1">'Inputs'!$B$12</definedName>
    <definedName name="loans0">'Inputs'!$B$13</definedName>
    <definedName name="np_fy">'Inputs'!$B$17</definedName>
    <definedName name="np_h26">'Inputs'!$B$18</definedName>
    <definedName name="np_h25">'Inputs'!$B$19</definedName>
    <definedName name="eps_ttm">'Inputs'!$B$20</definedName>
    <definedName name="dps_reg">'Inputs'!$B$21</definedName>
    <definedName name="rf_th">'Inputs'!$B$23</definedName>
    <definedName name="erp_th">'Inputs'!$B$24</definedName>
    <definedName name="beta_bank">'Inputs'!$B$25</definedName>
    <definedName name="ke_mkt">'Inputs'!$B$26</definedName>
    <definedName name="g">'Inputs'!$B$27</definedName>
    <definedName name="roe_ddm">'Inputs'!$B$28</definedName>
    <definedName name="sh">'Calc'!$B$2</definedName>
    <definedName name="bvps">'Calc'!$B$3</definedName>
    <definedName name="pbv">'Calc'!$B$4</definedName>
    <definedName name="np_ttm">'Calc'!$B$5</definedName>
    <definedName name="roe_ttm">'Calc'!$B$6</definedName>
    <definedName name="ppop">'Calc'!$B$8</definedName>
    <definedName name="avg_l">'Calc'!$B$9</definedName>
    <definedName name="avg_e">'Calc'!$B$10</definedName>
    <definedName name="k">'Calc'!$B$12</definedName>
    <definedName name="ke_capm">'Calc'!$B$15</definedName>
    <definedName name="ke_b1">'Calc'!$B$16</definedName>
    <definedName name="eq_1">'Inputs'!$B$14</definedName>
    <definedName name="eq_0">'Inputs'!$B$15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4" fontId="2" fillId="3" borderId="0" pivotButton="0" quotePrefix="0" xfId="0"/>
    <xf numFmtId="0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โมเดลธนาคารกสิกรไทย (KBANK) ณ วันตัดข้อมูล</t>
        </is>
      </c>
    </row>
    <row r="2">
      <c r="A2" s="2" t="inlineStr">
        <is>
          <t>BVPS และ P/BV ROE ภายใต้ต้นทุนความเสี่ยงด้านเครดิตปกติสามระดับ P/BV ที่สมเหตุสมผล และ DDM ที่สอดคล้องกับ ROE</t>
        </is>
      </c>
    </row>
    <row r="3">
      <c r="A3" s="2" t="inlineStr">
        <is>
          <t>บทที่เกี่ยวข้อง: บทที่ 25, 27, 30–31 และ 58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ข้อมูล ณ จุดตัดของหนังสือ: งบ FY2025 + งบระหว่างกาลไตรมาส 2 ปี 2026 · ราคาปิด 2026-09-30 ข้อมูลราคาและงบการเงินเปลี่ยนแปลงหลังการตีพิมพ์</t>
        </is>
      </c>
    </row>
    <row r="13">
      <c r="A13" s="2" t="inlineStr">
        <is>
          <t>สมมติฐานในโมเดลเป็นของผู้เขียน เมื่อคุณเห็นต่าง ให้เปลี่ยนในแผ่น Inputs และบันทึกเหตุผลในช่อง 5 ของ Thesis Canvas</t>
        </is>
      </c>
    </row>
    <row r="14">
      <c r="A14" s="2" t="inlineStr"/>
    </row>
    <row r="15">
      <c r="A15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6">
      <c r="A16" s="2" t="inlineStr"/>
    </row>
    <row r="17">
      <c r="A17" s="3" t="inlineStr">
        <is>
          <t>สถานะเซลล์ตรวจทั้งหมด:</t>
        </is>
      </c>
    </row>
    <row r="18">
      <c r="A18" s="4">
        <f>IF(AND('Calc'!C17="OK"),"ทุกเซลล์ตรวจผ่าน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ราคาปิด</t>
        </is>
      </c>
      <c r="B2" s="6" t="n">
        <v>234</v>
      </c>
      <c r="C2" t="inlineStr">
        <is>
          <t>บาท</t>
        </is>
      </c>
      <c r="D2" t="inlineStr">
        <is>
          <t>2026-09-30</t>
        </is>
      </c>
      <c r="E2" t="inlineStr">
        <is>
          <t>SET Historical Trading</t>
        </is>
      </c>
      <c r="F2" t="inlineStr">
        <is>
          <t>data/market/set-kbank-2026-09-30.json</t>
        </is>
      </c>
    </row>
    <row r="3">
      <c r="A3" t="inlineStr">
        <is>
          <t>ส่วนของผู้ถือหุ้นของธนาคาร</t>
        </is>
      </c>
      <c r="B3" s="6" t="n">
        <v>576283.995</v>
      </c>
      <c r="C3" t="inlineStr">
        <is>
          <t>ล้านบาท</t>
        </is>
      </c>
      <c r="D3" t="inlineStr">
        <is>
          <t>2026-06-30</t>
        </is>
      </c>
      <c r="E3" t="inlineStr">
        <is>
          <t>KBANK งบระหว่างกาล Q2 2026</t>
        </is>
      </c>
      <c r="F3" t="inlineStr">
        <is>
          <t>FINANCIAL POSITION แถว 43</t>
        </is>
      </c>
    </row>
    <row r="4">
      <c r="A4" t="inlineStr">
        <is>
          <t>หุ้นที่ออก</t>
        </is>
      </c>
      <c r="B4" s="6" t="n">
        <v>2369.327593</v>
      </c>
      <c r="C4" t="inlineStr">
        <is>
          <t>ล้านหุ้น</t>
        </is>
      </c>
      <c r="D4" t="inlineStr">
        <is>
          <t>2026-06-30</t>
        </is>
      </c>
      <c r="E4" t="inlineStr">
        <is>
          <t>KBANK งบระหว่างกาล Q2 2026</t>
        </is>
      </c>
      <c r="F4" t="inlineStr">
        <is>
          <t>FINANCIAL POSITION แถว 54</t>
        </is>
      </c>
    </row>
    <row r="5">
      <c r="A5" t="inlineStr">
        <is>
          <t>หุ้นซื้อคืน</t>
        </is>
      </c>
      <c r="B5" s="6" t="n">
        <v>18.3011</v>
      </c>
      <c r="C5" t="inlineStr">
        <is>
          <t>ล้านหุ้น</t>
        </is>
      </c>
      <c r="D5" t="inlineStr">
        <is>
          <t>2026-06-30</t>
        </is>
      </c>
      <c r="E5" t="inlineStr">
        <is>
          <t>KBANK งบระหว่างกาล Q2 2026</t>
        </is>
      </c>
      <c r="F5" t="inlineStr">
        <is>
          <t>หมายเหตุ 31</t>
        </is>
      </c>
    </row>
    <row r="6">
      <c r="A6" s="4" t="inlineStr">
        <is>
          <t>งบปี 2025 (ล้านบาท)</t>
        </is>
      </c>
    </row>
    <row r="7">
      <c r="A7" t="inlineStr">
        <is>
          <t>รายได้จากการดำเนินงานสุทธิ</t>
        </is>
      </c>
      <c r="B7" s="6" t="n">
        <v>194800.079</v>
      </c>
      <c r="C7" t="inlineStr">
        <is>
          <t>ล้านบาท</t>
        </is>
      </c>
      <c r="D7" t="inlineStr">
        <is>
          <t>FY2025</t>
        </is>
      </c>
      <c r="E7" t="inlineStr">
        <is>
          <t>KBANK งบการเงิน FY2025</t>
        </is>
      </c>
      <c r="F7" t="inlineStr">
        <is>
          <t>COMPREHENSIVE INCOME</t>
        </is>
      </c>
    </row>
    <row r="8">
      <c r="A8" t="inlineStr">
        <is>
          <t>ค่าใช้จ่ายจากการดำเนินงาน</t>
        </is>
      </c>
      <c r="B8" s="6" t="n">
        <v>84848.553</v>
      </c>
      <c r="C8" t="inlineStr">
        <is>
          <t>ล้านบาท</t>
        </is>
      </c>
      <c r="D8" t="inlineStr">
        <is>
          <t>FY2025</t>
        </is>
      </c>
      <c r="E8" t="inlineStr">
        <is>
          <t>KBANK งบการเงิน FY2025</t>
        </is>
      </c>
      <c r="F8" t="inlineStr">
        <is>
          <t>COMPREHENSIVE INCOME</t>
        </is>
      </c>
    </row>
    <row r="9">
      <c r="A9" t="inlineStr">
        <is>
          <t>ผลขาดทุนด้านเครดิตที่คาดว่าจะเกิดขึ้น</t>
        </is>
      </c>
      <c r="B9" s="6" t="n">
        <v>40311.724</v>
      </c>
      <c r="C9" t="inlineStr">
        <is>
          <t>ล้านบาท</t>
        </is>
      </c>
      <c r="D9" t="inlineStr">
        <is>
          <t>FY2025</t>
        </is>
      </c>
      <c r="E9" t="inlineStr">
        <is>
          <t>KBANK งบการเงิน FY2025</t>
        </is>
      </c>
      <c r="F9" t="inlineStr">
        <is>
          <t>COMPREHENSIVE INCOME</t>
        </is>
      </c>
    </row>
    <row r="10">
      <c r="A10" t="inlineStr">
        <is>
          <t>กำไรก่อนภาษี</t>
        </is>
      </c>
      <c r="B10" s="6" t="n">
        <v>69639.802</v>
      </c>
      <c r="C10" t="inlineStr">
        <is>
          <t>ล้านบาท</t>
        </is>
      </c>
      <c r="D10" t="inlineStr">
        <is>
          <t>FY2025</t>
        </is>
      </c>
      <c r="E10" t="inlineStr">
        <is>
          <t>KBANK งบการเงิน FY2025</t>
        </is>
      </c>
      <c r="F10" t="inlineStr">
        <is>
          <t>COMPREHENSIVE INCOME</t>
        </is>
      </c>
    </row>
    <row r="11">
      <c r="A11" t="inlineStr">
        <is>
          <t>กำไรสุทธิส่วนของธนาคาร</t>
        </is>
      </c>
      <c r="B11" s="6" t="n">
        <v>49564.772</v>
      </c>
      <c r="C11" t="inlineStr">
        <is>
          <t>ล้านบาท</t>
        </is>
      </c>
      <c r="D11" t="inlineStr">
        <is>
          <t>FY2025</t>
        </is>
      </c>
      <c r="E11" t="inlineStr">
        <is>
          <t>KBANK งบการเงิน FY2025</t>
        </is>
      </c>
      <c r="F11" t="inlineStr">
        <is>
          <t>COMPREHENSIVE INCOME</t>
        </is>
      </c>
    </row>
    <row r="12">
      <c r="A12" t="inlineStr">
        <is>
          <t>เงินให้สินเชื่อ ปลายปี 2025</t>
        </is>
      </c>
      <c r="B12" s="6" t="n">
        <v>2352770.246</v>
      </c>
      <c r="C12" t="inlineStr">
        <is>
          <t>ล้านบาท</t>
        </is>
      </c>
      <c r="D12" t="inlineStr">
        <is>
          <t>2025-12-31</t>
        </is>
      </c>
      <c r="E12" t="inlineStr">
        <is>
          <t>KBANK งบการเงิน FY2025</t>
        </is>
      </c>
      <c r="F12" t="inlineStr">
        <is>
          <t>FINANCIAL POSITION</t>
        </is>
      </c>
    </row>
    <row r="13">
      <c r="A13" t="inlineStr">
        <is>
          <t>เงินให้สินเชื่อ ปลายปี 2024</t>
        </is>
      </c>
      <c r="B13" s="6" t="n">
        <v>2368649.231</v>
      </c>
      <c r="C13" t="inlineStr">
        <is>
          <t>ล้านบาท</t>
        </is>
      </c>
      <c r="D13" t="inlineStr">
        <is>
          <t>2024-12-31</t>
        </is>
      </c>
      <c r="E13" t="inlineStr">
        <is>
          <t>KBANK งบการเงิน FY2025</t>
        </is>
      </c>
      <c r="F13" t="inlineStr">
        <is>
          <t>FINANCIAL POSITION</t>
        </is>
      </c>
    </row>
    <row r="14">
      <c r="A14" t="inlineStr">
        <is>
          <t>ส่วนของผู้ถือหุ้นของธนาคาร ปลายปี 2025</t>
        </is>
      </c>
      <c r="B14" s="6" t="n">
        <v>581146.308</v>
      </c>
      <c r="C14" t="inlineStr">
        <is>
          <t>ล้านบาท</t>
        </is>
      </c>
      <c r="D14" t="inlineStr">
        <is>
          <t>2025-12-31</t>
        </is>
      </c>
      <c r="E14" t="inlineStr">
        <is>
          <t>KBANK งบการเงิน FY2025</t>
        </is>
      </c>
      <c r="F14" t="inlineStr">
        <is>
          <t>FINANCIAL POSITION</t>
        </is>
      </c>
    </row>
    <row r="15">
      <c r="A15" t="inlineStr">
        <is>
          <t>ส่วนของผู้ถือหุ้นของธนาคาร ปลายปี 2024</t>
        </is>
      </c>
      <c r="B15" s="6" t="n">
        <v>568725.546</v>
      </c>
      <c r="C15" t="inlineStr">
        <is>
          <t>ล้านบาท</t>
        </is>
      </c>
      <c r="D15" t="inlineStr">
        <is>
          <t>2024-12-31</t>
        </is>
      </c>
      <c r="E15" t="inlineStr">
        <is>
          <t>KBANK งบการเงิน FY2025</t>
        </is>
      </c>
      <c r="F15" t="inlineStr">
        <is>
          <t>FINANCIAL POSITION</t>
        </is>
      </c>
    </row>
    <row r="16">
      <c r="A16" s="4" t="inlineStr">
        <is>
          <t>TTM และเงินปันผล</t>
        </is>
      </c>
    </row>
    <row r="17">
      <c r="A17" t="inlineStr">
        <is>
          <t>กำไรสุทธิส่วนของธนาคาร — FY2025</t>
        </is>
      </c>
      <c r="B17" s="7" t="n">
        <v>49564.772</v>
      </c>
      <c r="C17" t="inlineStr">
        <is>
          <t>ล้านบาท</t>
        </is>
      </c>
      <c r="D17" t="inlineStr">
        <is>
          <t>FY2025</t>
        </is>
      </c>
      <c r="E17" t="inlineStr">
        <is>
          <t>KBANK งบการเงิน FY2025</t>
        </is>
      </c>
      <c r="F17" t="inlineStr">
        <is>
          <t>COMPREHENSIVE INCOME</t>
        </is>
      </c>
    </row>
    <row r="18">
      <c r="A18" t="inlineStr">
        <is>
          <t>กำไรสุทธิส่วนของธนาคาร — H1 2026</t>
        </is>
      </c>
      <c r="B18" s="7" t="n">
        <v>27914.897</v>
      </c>
      <c r="C18" t="inlineStr">
        <is>
          <t>ล้านบาท</t>
        </is>
      </c>
      <c r="D18" t="inlineStr">
        <is>
          <t>H1 2026</t>
        </is>
      </c>
      <c r="E18" t="inlineStr">
        <is>
          <t>KBANK งบระหว่างกาล Q2 2026</t>
        </is>
      </c>
      <c r="F18" t="inlineStr">
        <is>
          <t>COMPREHENSIVE INCOME 6M แถว 52</t>
        </is>
      </c>
    </row>
    <row r="19">
      <c r="A19" t="inlineStr">
        <is>
          <t>กำไรสุทธิส่วนของธนาคาร — H1 2025</t>
        </is>
      </c>
      <c r="B19" s="7" t="n">
        <v>26279.644</v>
      </c>
      <c r="C19" t="inlineStr">
        <is>
          <t>ล้านบาท</t>
        </is>
      </c>
      <c r="D19" t="inlineStr">
        <is>
          <t>H1 2025</t>
        </is>
      </c>
      <c r="E19" t="inlineStr">
        <is>
          <t>KBANK งบระหว่างกาล Q2 2026</t>
        </is>
      </c>
      <c r="F19" t="inlineStr">
        <is>
          <t>COMPREHENSIVE INCOME 6M แถว 52</t>
        </is>
      </c>
    </row>
    <row r="20">
      <c r="A20" t="inlineStr">
        <is>
          <t>EPS 12 เดือนล่าสุด</t>
        </is>
      </c>
      <c r="B20" s="6" t="n">
        <v>21.56</v>
      </c>
      <c r="C20" t="inlineStr">
        <is>
          <t>บาท</t>
        </is>
      </c>
      <c r="D20" t="inlineStr">
        <is>
          <t>TTM ถึง 2026-06-30</t>
        </is>
      </c>
      <c r="E20" t="inlineStr">
        <is>
          <t>คำนวณโดยผู้เขียน</t>
        </is>
      </c>
      <c r="F20" t="inlineStr">
        <is>
          <t>บทที่ 24</t>
        </is>
      </c>
    </row>
    <row r="21">
      <c r="A21" t="inlineStr">
        <is>
          <t>เงินปันผลปกติ FY2025</t>
        </is>
      </c>
      <c r="B21" s="6" t="n">
        <v>12</v>
      </c>
      <c r="C21" t="inlineStr">
        <is>
          <t>บาท</t>
        </is>
      </c>
      <c r="D21" t="inlineStr">
        <is>
          <t>FY2025</t>
        </is>
      </c>
      <c r="E21" t="inlineStr">
        <is>
          <t>KBANK งบระหว่างกาล Q2 2026</t>
        </is>
      </c>
      <c r="F21" t="inlineStr">
        <is>
          <t>หมายเหตุ 32</t>
        </is>
      </c>
    </row>
    <row r="22">
      <c r="A22" s="4" t="inlineStr">
        <is>
          <t>ต้นทุนส่วนของผู้ถือหุ้น (บทที่ 27)</t>
        </is>
      </c>
    </row>
    <row r="23">
      <c r="A23" t="inlineStr">
        <is>
          <t>อัตราผลตอบแทนพันธบัตรรัฐบาลไทย 10 ปี</t>
        </is>
      </c>
      <c r="B23" s="8" t="n">
        <v>0.02371142</v>
      </c>
      <c r="C23" t="inlineStr">
        <is>
          <t>ต่อปี</t>
        </is>
      </c>
      <c r="D23" t="inlineStr">
        <is>
          <t>2026-09-30</t>
        </is>
      </c>
      <c r="E23" t="inlineStr">
        <is>
          <t>ThaiBMA</t>
        </is>
      </c>
      <c r="F23" t="inlineStr">
        <is>
          <t>X = 10.0</t>
        </is>
      </c>
    </row>
    <row r="24">
      <c r="A24" t="inlineStr">
        <is>
          <t>ERP ประเทศไทย (ตามอันดับเครดิต)</t>
        </is>
      </c>
      <c r="B24" s="8" t="n">
        <v>0.0618</v>
      </c>
      <c r="C24" t="inlineStr">
        <is>
          <t>ต่อปี</t>
        </is>
      </c>
      <c r="D24" t="inlineStr">
        <is>
          <t>กรกฎาคม 2026</t>
        </is>
      </c>
      <c r="E24" t="inlineStr">
        <is>
          <t>Damodaran ctrypremJuly26.xlsx</t>
        </is>
      </c>
      <c r="F24" t="inlineStr">
        <is>
          <t>แถว 150</t>
        </is>
      </c>
    </row>
    <row r="25">
      <c r="A25" t="inlineStr">
        <is>
          <t>เบตาธนาคารตลาดเกิดใหม่ (money center)</t>
        </is>
      </c>
      <c r="B25" s="9" t="n">
        <v>0.586</v>
      </c>
      <c r="C25" t="inlineStr">
        <is>
          <t>เท่า</t>
        </is>
      </c>
      <c r="D25" t="inlineStr">
        <is>
          <t>มกราคม 2026</t>
        </is>
      </c>
      <c r="E25" t="inlineStr">
        <is>
          <t>Damodaran betaemerg.xls</t>
        </is>
      </c>
      <c r="F25" t="inlineStr">
        <is>
          <t>Bank (Money Center)</t>
        </is>
      </c>
    </row>
    <row r="26">
      <c r="A26" t="inlineStr">
        <is>
          <t>อัตราที่ราคาสะท้อน (จากบทที่ 25)</t>
        </is>
      </c>
      <c r="B26" s="8" t="n">
        <v>0.091</v>
      </c>
      <c r="C26" t="inlineStr">
        <is>
          <t>ต่อปี</t>
        </is>
      </c>
      <c r="D26" t="inlineStr">
        <is>
          <t>2026-09-30</t>
        </is>
      </c>
      <c r="E26" t="inlineStr">
        <is>
          <t>คำนวณโดยผู้เขียน</t>
        </is>
      </c>
      <c r="F26" t="inlineStr">
        <is>
          <t>บทที่ 25</t>
        </is>
      </c>
    </row>
    <row r="27">
      <c r="A27" t="inlineStr">
        <is>
          <t>การเติบโตระยะยาว</t>
        </is>
      </c>
      <c r="B27" s="8" t="n">
        <v>0.03</v>
      </c>
      <c r="C27" t="inlineStr">
        <is>
          <t>ต่อปี</t>
        </is>
      </c>
      <c r="D27" t="inlineStr"/>
      <c r="E27" t="inlineStr">
        <is>
          <t>ประมาณการโดยผู้เขียน</t>
        </is>
      </c>
      <c r="F27" t="inlineStr">
        <is>
          <t>บทที่ 30–31</t>
        </is>
      </c>
    </row>
    <row r="28">
      <c r="A28" t="inlineStr">
        <is>
          <t>ROE ระยะยาวสำหรับ DDM</t>
        </is>
      </c>
      <c r="B28" s="10" t="n">
        <v>0.08799999999999999</v>
      </c>
      <c r="C28" t="inlineStr">
        <is>
          <t>สัดส่วน</t>
        </is>
      </c>
      <c r="D28" t="inlineStr"/>
      <c r="E28" t="inlineStr">
        <is>
          <t>ประมาณการโดยผู้เขียน</t>
        </is>
      </c>
      <c r="F28" t="inlineStr">
        <is>
          <t>บทที่ 25 (ROE ล่าสุดราว 8.8%)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t="inlineStr">
        <is>
          <t>หุ้นที่จำหน่ายแล้ว (สุทธิหุ้นซื้อคืน)</t>
        </is>
      </c>
      <c r="B2" s="11">
        <f>sh_issued-sh_treas</f>
        <v/>
      </c>
    </row>
    <row r="3">
      <c r="A3" t="inlineStr">
        <is>
          <t>BVPS</t>
        </is>
      </c>
      <c r="B3" s="11">
        <f>eq_h1/sh</f>
        <v/>
      </c>
    </row>
    <row r="4">
      <c r="A4" t="inlineStr">
        <is>
          <t>P/BV</t>
        </is>
      </c>
      <c r="B4" s="12">
        <f>price/bvps</f>
        <v/>
      </c>
    </row>
    <row r="5">
      <c r="A5" t="inlineStr">
        <is>
          <t>กำไร TTM</t>
        </is>
      </c>
      <c r="B5" s="13">
        <f>np_fy+np_h26-np_h25</f>
        <v/>
      </c>
    </row>
    <row r="6">
      <c r="A6" t="inlineStr">
        <is>
          <t>ROE TTM (ส่วนของผู้ถือหุ้นเฉลี่ย 2025-12-31 และ 2026-06-30)</t>
        </is>
      </c>
      <c r="B6" s="14">
        <f>np_ttm/((eq_h1+eq_1)/2)</f>
        <v/>
      </c>
    </row>
    <row r="7"/>
    <row r="8">
      <c r="A8" t="inlineStr">
        <is>
          <t>PPOP = รายได้ − ค่าใช้จ่าย</t>
        </is>
      </c>
      <c r="B8" s="13">
        <f>opinc-opex</f>
        <v/>
      </c>
    </row>
    <row r="9">
      <c r="A9" t="inlineStr">
        <is>
          <t>สินเชื่อเฉลี่ย</t>
        </is>
      </c>
      <c r="B9" s="13">
        <f>(loans1+loans0)/2</f>
        <v/>
      </c>
    </row>
    <row r="10">
      <c r="A10" t="inlineStr">
        <is>
          <t>ส่วนของผู้ถือหุ้นเฉลี่ย 2025</t>
        </is>
      </c>
      <c r="B10" s="13">
        <f>(eq_1+eq_0)/2</f>
        <v/>
      </c>
    </row>
    <row r="11">
      <c r="A11" t="inlineStr">
        <is>
          <t>ต้นทุนความเสี่ยงด้านเครดิต 2025</t>
        </is>
      </c>
      <c r="B11" s="14">
        <f>ecl/avg_l</f>
        <v/>
      </c>
    </row>
    <row r="12">
      <c r="A12" t="inlineStr">
        <is>
          <t>กำไรสุทธิต่อกำไรก่อนภาษี (ภาษีและ NCI)</t>
        </is>
      </c>
      <c r="B12" s="15">
        <f>ni/ebt</f>
        <v/>
      </c>
    </row>
    <row r="13">
      <c r="A13" t="inlineStr">
        <is>
          <t>ROE 2025</t>
        </is>
      </c>
      <c r="B13" s="14">
        <f>ni/avg_e</f>
        <v/>
      </c>
    </row>
    <row r="14"/>
    <row r="15">
      <c r="A15" t="inlineStr">
        <is>
          <t>ke = rf + β × ERP</t>
        </is>
      </c>
      <c r="B15" s="14">
        <f>rf_th+beta_bank*erp_th</f>
        <v/>
      </c>
    </row>
    <row r="16">
      <c r="A16" t="inlineStr">
        <is>
          <t>ke ถ้าเบตา = 1</t>
        </is>
      </c>
      <c r="B16" s="14">
        <f>rf_th+erp_th</f>
        <v/>
      </c>
    </row>
    <row r="17">
      <c r="A17" s="4" t="inlineStr">
        <is>
          <t>ตรวจ: หุ้นสุทธิเป็นบวก</t>
        </is>
      </c>
      <c r="B17" s="16">
        <f>IF(sh&gt;0,0,1)</f>
        <v/>
      </c>
      <c r="C17" s="17">
        <f>IF(ABS(B17)&lt;=0,"OK","ตรวจสอบ")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ROE ปกติ = (PPOP − ต้นทุนเครดิต × สินเชื่อเฉลี่ย) × k ÷ ส่วนของผู้ถือหุ้นเฉลี่ย · P/BV = (ROE − g) ÷ (ke − g)</t>
        </is>
      </c>
      <c r="B1" s="5" t="inlineStr">
        <is>
          <t>ROE</t>
        </is>
      </c>
      <c r="C1" s="5" t="inlineStr">
        <is>
          <t>P/BV @ke CAPM</t>
        </is>
      </c>
      <c r="D1" s="5" t="inlineStr">
        <is>
          <t>P/BV @ke β=1</t>
        </is>
      </c>
      <c r="E1" s="5" t="inlineStr">
        <is>
          <t>P/BV @ke ราคา</t>
        </is>
      </c>
    </row>
    <row r="2">
      <c r="A2" s="4" t="inlineStr">
        <is>
          <t>ต้นทุนเครดิต</t>
        </is>
      </c>
      <c r="B2" s="4" t="inlineStr">
        <is>
          <t>ROE</t>
        </is>
      </c>
      <c r="C2" s="4" t="inlineStr">
        <is>
          <t>P/BV @ke CAPM</t>
        </is>
      </c>
      <c r="D2" s="4" t="inlineStr">
        <is>
          <t>P/BV @ke β=1</t>
        </is>
      </c>
      <c r="E2" s="4" t="inlineStr">
        <is>
          <t>P/BV @ke ราคา</t>
        </is>
      </c>
    </row>
    <row r="3">
      <c r="A3" s="18" t="n">
        <v>0.012</v>
      </c>
      <c r="B3" s="14">
        <f>(ppop-A3*avg_l)*k/avg_e</f>
        <v/>
      </c>
      <c r="C3" s="12">
        <f>(B3-g)/(ke_capm-g)</f>
        <v/>
      </c>
      <c r="D3" s="12">
        <f>(B3-g)/(ke_b1-g)</f>
        <v/>
      </c>
      <c r="E3" s="12">
        <f>(B3-g)/(ke_mkt-g)</f>
        <v/>
      </c>
    </row>
    <row r="4">
      <c r="A4" s="18" t="n">
        <v>0.017</v>
      </c>
      <c r="B4" s="14">
        <f>(ppop-A4*avg_l)*k/avg_e</f>
        <v/>
      </c>
      <c r="C4" s="12">
        <f>(B4-g)/(ke_capm-g)</f>
        <v/>
      </c>
      <c r="D4" s="12">
        <f>(B4-g)/(ke_b1-g)</f>
        <v/>
      </c>
      <c r="E4" s="12">
        <f>(B4-g)/(ke_mkt-g)</f>
        <v/>
      </c>
    </row>
    <row r="5">
      <c r="A5" s="18" t="n">
        <v>0.02</v>
      </c>
      <c r="B5" s="14">
        <f>(ppop-A5*avg_l)*k/avg_e</f>
        <v/>
      </c>
      <c r="C5" s="12">
        <f>(B5-g)/(ke_capm-g)</f>
        <v/>
      </c>
      <c r="D5" s="12">
        <f>(B5-g)/(ke_b1-g)</f>
        <v/>
      </c>
      <c r="E5" s="12">
        <f>(B5-g)/(ke_mkt-g)</f>
        <v/>
      </c>
    </row>
    <row r="6"/>
    <row r="7">
      <c r="A7" t="inlineStr">
        <is>
          <t>มูลค่าต่อหุ้น = P/BV × BVPS</t>
        </is>
      </c>
    </row>
    <row r="8">
      <c r="A8" s="19">
        <f>A3</f>
        <v/>
      </c>
      <c r="C8" s="13">
        <f>C3*bvps</f>
        <v/>
      </c>
      <c r="D8" s="13">
        <f>D3*bvps</f>
        <v/>
      </c>
      <c r="E8" s="13">
        <f>E3*bvps</f>
        <v/>
      </c>
    </row>
    <row r="9">
      <c r="A9" s="19">
        <f>A4</f>
        <v/>
      </c>
      <c r="C9" s="13">
        <f>C4*bvps</f>
        <v/>
      </c>
      <c r="D9" s="13">
        <f>D4*bvps</f>
        <v/>
      </c>
      <c r="E9" s="13">
        <f>E4*bvps</f>
        <v/>
      </c>
    </row>
    <row r="10">
      <c r="A10" s="19">
        <f>A5</f>
        <v/>
      </c>
      <c r="C10" s="13">
        <f>C5*bvps</f>
        <v/>
      </c>
      <c r="D10" s="13">
        <f>D5*bvps</f>
        <v/>
      </c>
      <c r="E10" s="13">
        <f>E5*bvps</f>
        <v/>
      </c>
    </row>
    <row r="11"/>
    <row r="12">
      <c r="A12" t="inlineStr">
        <is>
          <t>P/BV ในตลาด ณ วันตัดข้อมูลอยู่ในแผ่น 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g</t>
        </is>
      </c>
      <c r="B1" s="5" t="inlineStr">
        <is>
          <t>payout = 1 − g ÷ ROE</t>
        </is>
      </c>
      <c r="C1" s="5" t="inlineStr">
        <is>
          <t>DPS1</t>
        </is>
      </c>
      <c r="D1" s="5" t="inlineStr">
        <is>
          <t>@ke CAPM</t>
        </is>
      </c>
      <c r="E1" s="5" t="inlineStr">
        <is>
          <t>@ke β=1</t>
        </is>
      </c>
      <c r="F1" s="5" t="inlineStr">
        <is>
          <t>@ke ราคา</t>
        </is>
      </c>
    </row>
    <row r="2">
      <c r="A2" s="18" t="n">
        <v>0.02</v>
      </c>
      <c r="B2" s="19">
        <f>1-A2/roe_ddm</f>
        <v/>
      </c>
      <c r="C2" s="11">
        <f>eps_ttm*(1+A2)*B2</f>
        <v/>
      </c>
      <c r="D2" s="13">
        <f>C2/(ke_capm-A2)</f>
        <v/>
      </c>
      <c r="E2" s="13">
        <f>C2/(ke_b1-A2)</f>
        <v/>
      </c>
      <c r="F2" s="13">
        <f>C2/(ke_mkt-A2)</f>
        <v/>
      </c>
    </row>
    <row r="3">
      <c r="A3" s="18" t="n">
        <v>0.03</v>
      </c>
      <c r="B3" s="19">
        <f>1-A3/roe_ddm</f>
        <v/>
      </c>
      <c r="C3" s="11">
        <f>eps_ttm*(1+A3)*B3</f>
        <v/>
      </c>
      <c r="D3" s="13">
        <f>C3/(ke_capm-A3)</f>
        <v/>
      </c>
      <c r="E3" s="13">
        <f>C3/(ke_b1-A3)</f>
        <v/>
      </c>
      <c r="F3" s="13">
        <f>C3/(ke_mkt-A3)</f>
        <v/>
      </c>
    </row>
    <row r="4">
      <c r="A4" s="18" t="n">
        <v>0.04</v>
      </c>
      <c r="B4" s="19">
        <f>1-A4/roe_ddm</f>
        <v/>
      </c>
      <c r="C4" s="11">
        <f>eps_ttm*(1+A4)*B4</f>
        <v/>
      </c>
      <c r="D4" s="13">
        <f>C4/(ke_capm-A4)</f>
        <v/>
      </c>
      <c r="E4" s="13">
        <f>C4/(ke_b1-A4)</f>
        <v/>
      </c>
      <c r="F4" s="13">
        <f>C4/(ke_mkt-A4)</f>
        <v/>
      </c>
    </row>
    <row r="5"/>
    <row r="6">
      <c r="A6" t="inlineStr">
        <is>
          <t>ROE ระยะยาวเปลี่ยนได้ในแผ่น Inputs (roe_ddm)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12" customWidth="1" min="4" max="4"/>
    <col width="30" customWidth="1" min="5" max="5"/>
  </cols>
  <sheetData>
    <row r="1">
      <c r="A1" s="5" t="inlineStr">
        <is>
          <t>รายการ</t>
        </is>
      </c>
      <c r="B1" s="5" t="inlineStr">
        <is>
          <t>ค่าในโมเดล</t>
        </is>
      </c>
      <c r="C1" s="5" t="inlineStr">
        <is>
          <t>ค่าที่พิมพ์ในหนังสือ</t>
        </is>
      </c>
      <c r="D1" s="5" t="inlineStr">
        <is>
          <t>ผลต่าง</t>
        </is>
      </c>
      <c r="E1" s="5" t="inlineStr">
        <is>
          <t>บท/ตาราง</t>
        </is>
      </c>
    </row>
    <row r="2">
      <c r="A2" t="inlineStr">
        <is>
          <t>BVPS</t>
        </is>
      </c>
      <c r="B2" s="11">
        <f>bvps</f>
        <v/>
      </c>
      <c r="C2" s="11" t="n">
        <v>245.12</v>
      </c>
      <c r="D2" s="11">
        <f>B2-C2</f>
        <v/>
      </c>
      <c r="E2" t="inlineStr">
        <is>
          <t>บทที่ 25 (245.12)</t>
        </is>
      </c>
    </row>
    <row r="3">
      <c r="A3" t="inlineStr">
        <is>
          <t>P/BV</t>
        </is>
      </c>
      <c r="B3" s="12">
        <f>pbv</f>
        <v/>
      </c>
      <c r="C3" s="12" t="n">
        <v>0.95</v>
      </c>
      <c r="D3" s="12">
        <f>B3-C3</f>
        <v/>
      </c>
      <c r="E3" t="inlineStr">
        <is>
          <t>บทที่ 25 (0.95)</t>
        </is>
      </c>
    </row>
    <row r="4">
      <c r="A4" t="inlineStr">
        <is>
          <t>ke CAPM</t>
        </is>
      </c>
      <c r="B4" s="14">
        <f>ke_capm</f>
        <v/>
      </c>
      <c r="C4" s="14" t="n">
        <v>0.0599</v>
      </c>
      <c r="D4" s="14">
        <f>B4-C4</f>
        <v/>
      </c>
      <c r="E4" t="inlineStr">
        <is>
          <t>บทที่ 27 (5.99%)</t>
        </is>
      </c>
    </row>
    <row r="5">
      <c r="A5" t="inlineStr">
        <is>
          <t>ke เบตา 1</t>
        </is>
      </c>
      <c r="B5" s="14">
        <f>ke_b1</f>
        <v/>
      </c>
      <c r="C5" s="14" t="n">
        <v>0.08550000000000001</v>
      </c>
      <c r="D5" s="14">
        <f>B5-C5</f>
        <v/>
      </c>
      <c r="E5" t="inlineStr">
        <is>
          <t>บทที่ 27 (8.55%)</t>
        </is>
      </c>
    </row>
    <row r="6">
      <c r="A6" t="inlineStr">
        <is>
          <t>กำไร TTM</t>
        </is>
      </c>
      <c r="B6" s="13">
        <f>np_ttm</f>
        <v/>
      </c>
      <c r="C6" s="13" t="n">
        <v>51200</v>
      </c>
      <c r="D6" s="13">
        <f>B6-C6</f>
        <v/>
      </c>
      <c r="E6" t="inlineStr">
        <is>
          <t>บทที่ 25 (51,200)</t>
        </is>
      </c>
    </row>
    <row r="7"/>
    <row r="8">
      <c r="A8" t="inlineStr">
        <is>
          <t>ค่าในหนังสือปัดเศษแล้ว ผลต่างเล็กน้อยจากการปัดเศษเป็นเรื่องปกติ ค่าที่พิมพ์ในคอลัมน์ C ใช้ตรวจเท่านั้น ไม่ใช่ข้อมูลนำเข้า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