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อ่านก่อน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" sheetId="3" state="visible" r:id="rId3"/>
  </sheets>
  <definedNames>
    <definedName name="rf">'Inputs'!$B$2</definedName>
    <definedName name="erp">'Inputs'!$B$3</definedName>
    <definedName name="beta_u">'Inputs'!$B$4</definedName>
    <definedName name="tax">'Inputs'!$B$5</definedName>
    <definedName name="mcap">'Inputs'!$B$6</definedName>
    <definedName name="debt">'Inputs'!$B$7</definedName>
    <definedName name="kd">'Inputs'!$B$8</definedName>
    <definedName name="fcff1">'Inputs'!$B$9</definedName>
    <definedName name="g">'Inputs'!$B$10</definedName>
    <definedName name="de">'Calc'!$B$2</definedName>
    <definedName name="beta_l">'Calc'!$B$3</definedName>
    <definedName name="ke">'Calc'!$B$4</definedName>
    <definedName name="we">'Calc'!$B$5</definedName>
    <definedName name="wd">'Calc'!$B$6</definedName>
    <definedName name="wacc">'Calc'!$B$8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</font>
    <font>
      <name val="Calibri"/>
      <color rgb="001F4E9A"/>
    </font>
    <font>
      <name val="Calibri"/>
      <b val="1"/>
    </font>
    <font>
      <name val="Calibri"/>
      <b val="1"/>
      <color rgb="000B5D7A"/>
      <sz val="14"/>
    </font>
  </fonts>
  <fills count="5">
    <fill>
      <patternFill/>
    </fill>
    <fill>
      <patternFill patternType="gray125"/>
    </fill>
    <fill>
      <patternFill patternType="solid">
        <fgColor rgb="000B5D7A"/>
      </patternFill>
    </fill>
    <fill>
      <patternFill patternType="solid">
        <fgColor rgb="00FFF4D6"/>
      </patternFill>
    </fill>
    <fill>
      <patternFill patternType="solid">
        <fgColor rgb="00EAF5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0" borderId="0" pivotButton="0" quotePrefix="0" xfId="0"/>
    <xf numFmtId="0" fontId="1" fillId="2" borderId="0" pivotButton="0" quotePrefix="0" xfId="0"/>
    <xf numFmtId="10" fontId="2" fillId="3" borderId="0" pivotButton="0" quotePrefix="0" xfId="0"/>
    <xf numFmtId="2" fontId="2" fillId="3" borderId="0" pivotButton="0" quotePrefix="0" xfId="0"/>
    <xf numFmtId="164" fontId="2" fillId="3" borderId="0" pivotButton="0" quotePrefix="0" xfId="0"/>
    <xf numFmtId="0" fontId="2" fillId="3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4" fontId="0" fillId="4" borderId="0" pivotButton="0" quotePrefix="0" xfId="0"/>
    <xf numFmtId="0" fontId="0" fillId="4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WACC และต้นทุนส่วนของผู้ถือหุ้น</t>
        </is>
      </c>
    </row>
    <row r="2">
      <c r="A2" s="2" t="inlineStr">
        <is>
          <t>CAPM จากเบตาอุตสาหกรรมที่ปรับตามหนี้ น้ำหนักตามมูลค่าตลาด และผลของ WACC ต่อมูลค่า</t>
        </is>
      </c>
    </row>
    <row r="3">
      <c r="A3" s="2" t="inlineStr">
        <is>
          <t>บทที่เกี่ยวข้อง: บทที่ 27</t>
        </is>
      </c>
    </row>
    <row r="4">
      <c r="A4" s="2" t="inlineStr">
        <is>
          <t>เวอร์ชัน 2026-10-11 · ประกอบหนังสือ จากตัวเลขสู่การตัดสินใจ (Solar)</t>
        </is>
      </c>
    </row>
    <row r="5">
      <c r="A5" s="2" t="inlineStr"/>
    </row>
    <row r="6">
      <c r="A6" s="3" t="inlineStr">
        <is>
          <t>วิธีอ่านแฟ้ม (หัวข้อ 55.4)</t>
        </is>
      </c>
    </row>
    <row r="7">
      <c r="A7" s="2" t="inlineStr">
        <is>
          <t>• แผ่น Inputs: ตัวเลขที่พิมพ์ด้วยมือทั้งหมดอยู่ที่นี่ เซลล์สีเหลืองตัวอักษรน้ำเงินคือค่าที่คุณเปลี่ยนได้ ทุกแถวมีหน่วย งวด แหล่ง และหน้าหรือแถว</t>
        </is>
      </c>
    </row>
    <row r="8">
      <c r="A8" s="2" t="inlineStr">
        <is>
          <t>• แผ่นคำนวณ: มีแต่สูตร อ้างชื่อเซลล์จากแผ่น Inputs (ดูชื่อได้ที่ Formulas › Name Manager)</t>
        </is>
      </c>
    </row>
    <row r="9">
      <c r="A9" s="2" t="inlineStr">
        <is>
          <t>• เซลล์สีเขียว 'ตรวจ': คำนวณสองทางแล้วเทียบกัน ควรแสดง OK ถ้าแสดง 'ตรวจสอบ' ให้หาว่าข้อมูลนำเข้าตัวใดผิด</t>
        </is>
      </c>
    </row>
    <row r="10">
      <c r="A10" s="2" t="inlineStr">
        <is>
          <t>• ผลลัพธ์เป็นช่วงหรือตารางความอ่อนไหว ไม่ใช่ตัวเลขเดียว (บทที่ 29)</t>
        </is>
      </c>
    </row>
    <row r="11">
      <c r="A11" s="2" t="inlineStr"/>
    </row>
    <row r="12">
      <c r="A12" s="3" t="inlineStr">
        <is>
          <t>ตัวเลขตั้งต้นในแฟ้มนี้เป็นตัวอย่างตัวเลขสมมติของบริษัทสมมติ ไม่ใช่ข้อมูลของบริษัทจริง แทนด้วยข้อมูลของคุณเอง</t>
        </is>
      </c>
    </row>
    <row r="13">
      <c r="A13" s="2" t="inlineStr"/>
    </row>
    <row r="14">
      <c r="A14" s="2" t="inlineStr">
        <is>
          <t>เนื้อหาเพื่อการศึกษา ไม่ใช่คำแนะนำให้ซื้อ ขาย หรือถือหลักทรัพย์ใด และไม่มีราคาเป้าหมาย ผลในอดีตและตัวเลขสมมติไม่รับประกันผลในอนาคต</t>
        </is>
      </c>
    </row>
    <row r="15">
      <c r="A15" s="2" t="inlineStr"/>
    </row>
    <row r="16">
      <c r="A16" s="3" t="inlineStr">
        <is>
          <t>สถานะเซลล์ตรวจทั้งหมด:</t>
        </is>
      </c>
    </row>
    <row r="17">
      <c r="A17" s="4">
        <f>IF(AND('Calc'!C9="OK"),"ทุกเซลล์ตรวจผ่าน (OK)","มีเซลล์ตรวจที่ต้องตรวจสอบ")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4" customWidth="1" min="3" max="3"/>
    <col width="18" customWidth="1" min="4" max="4"/>
    <col width="34" customWidth="1" min="5" max="5"/>
    <col width="46" customWidth="1" min="6" max="6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</t>
        </is>
      </c>
      <c r="D1" s="5" t="inlineStr">
        <is>
          <t>งวด</t>
        </is>
      </c>
      <c r="E1" s="5" t="inlineStr">
        <is>
          <t>แหล่ง</t>
        </is>
      </c>
      <c r="F1" s="5" t="inlineStr">
        <is>
          <t>หน้า/แถว/หมายเหตุ</t>
        </is>
      </c>
    </row>
    <row r="2">
      <c r="A2" t="inlineStr">
        <is>
          <t>อัตราผลตอบแทนที่ไม่มีความเสี่ยง</t>
        </is>
      </c>
      <c r="B2" s="6" t="n">
        <v>0.04</v>
      </c>
      <c r="C2" t="inlineStr">
        <is>
          <t>ต่อปี</t>
        </is>
      </c>
      <c r="D2" t="inlineStr"/>
      <c r="E2" t="inlineStr">
        <is>
          <t>ตัวอย่างตัวเลขสมมติ</t>
        </is>
      </c>
      <c r="F2" t="inlineStr">
        <is>
          <t>บทที่ 27.2</t>
        </is>
      </c>
    </row>
    <row r="3">
      <c r="A3" t="inlineStr">
        <is>
          <t>ส่วนชดเชยความเสี่ยงของหุ้น (ERP)</t>
        </is>
      </c>
      <c r="B3" s="6" t="n">
        <v>0.05</v>
      </c>
      <c r="C3" t="inlineStr">
        <is>
          <t>ต่อปี</t>
        </is>
      </c>
      <c r="D3" t="inlineStr"/>
      <c r="E3" t="inlineStr">
        <is>
          <t>ตัวอย่างตัวเลขสมมติ</t>
        </is>
      </c>
      <c r="F3" t="inlineStr">
        <is>
          <t>บทที่ 27.3</t>
        </is>
      </c>
    </row>
    <row r="4">
      <c r="A4" t="inlineStr">
        <is>
          <t>เบตาไม่มีหนี้ของอุตสาหกรรม</t>
        </is>
      </c>
      <c r="B4" s="7" t="n">
        <v>0.8</v>
      </c>
      <c r="C4" t="inlineStr">
        <is>
          <t>เท่า</t>
        </is>
      </c>
      <c r="D4" t="inlineStr"/>
      <c r="E4" t="inlineStr">
        <is>
          <t>ตัวอย่างตัวเลขสมมติ</t>
        </is>
      </c>
      <c r="F4" t="inlineStr">
        <is>
          <t>บทที่ 27.4</t>
        </is>
      </c>
    </row>
    <row r="5">
      <c r="A5" t="inlineStr">
        <is>
          <t>อัตราภาษี</t>
        </is>
      </c>
      <c r="B5" s="8" t="n">
        <v>0.2</v>
      </c>
      <c r="C5" t="inlineStr">
        <is>
          <t>สัดส่วน</t>
        </is>
      </c>
      <c r="D5" t="inlineStr"/>
      <c r="E5" t="inlineStr">
        <is>
          <t>ตัวอย่างตัวเลขสมมติ</t>
        </is>
      </c>
      <c r="F5" t="inlineStr"/>
    </row>
    <row r="6">
      <c r="A6" t="inlineStr">
        <is>
          <t>มูลค่าตลาดของส่วนของผู้ถือหุ้น (E)</t>
        </is>
      </c>
      <c r="B6" s="9" t="n">
        <v>4000</v>
      </c>
      <c r="C6" t="inlineStr">
        <is>
          <t>ล้านบาท</t>
        </is>
      </c>
      <c r="D6" t="inlineStr"/>
      <c r="E6" t="inlineStr">
        <is>
          <t>ตัวอย่างตัวเลขสมมติ</t>
        </is>
      </c>
      <c r="F6" t="inlineStr">
        <is>
          <t>ราคา × หุ้น</t>
        </is>
      </c>
    </row>
    <row r="7">
      <c r="A7" t="inlineStr">
        <is>
          <t>หนี้ (D) — ใช้มูลค่าตามบัญชีแทนมูลค่าตลาด</t>
        </is>
      </c>
      <c r="B7" s="9" t="n">
        <v>1000</v>
      </c>
      <c r="C7" t="inlineStr">
        <is>
          <t>ล้านบาท</t>
        </is>
      </c>
      <c r="D7" t="inlineStr"/>
      <c r="E7" t="inlineStr">
        <is>
          <t>ตัวอย่างตัวเลขสมมติ</t>
        </is>
      </c>
      <c r="F7" t="inlineStr"/>
    </row>
    <row r="8">
      <c r="A8" t="inlineStr">
        <is>
          <t>ต้นทุนหนี้ก่อนภาษี</t>
        </is>
      </c>
      <c r="B8" s="6" t="n">
        <v>0.05</v>
      </c>
      <c r="C8" t="inlineStr">
        <is>
          <t>ต่อปี</t>
        </is>
      </c>
      <c r="D8" t="inlineStr"/>
      <c r="E8" t="inlineStr">
        <is>
          <t>ตัวอย่างตัวเลขสมมติ</t>
        </is>
      </c>
      <c r="F8" t="inlineStr">
        <is>
          <t>ผลตอบแทนหุ้นกู้ของบริษัท</t>
        </is>
      </c>
    </row>
    <row r="9">
      <c r="A9" t="inlineStr">
        <is>
          <t>FCFF ปีหน้า (สำหรับตารางผลต่อมูลค่า)</t>
        </is>
      </c>
      <c r="B9" s="9" t="n">
        <v>100</v>
      </c>
      <c r="C9" t="inlineStr">
        <is>
          <t>ล้านบาท</t>
        </is>
      </c>
      <c r="D9" t="inlineStr"/>
      <c r="E9" t="inlineStr">
        <is>
          <t>ตัวอย่างตัวเลขสมมติ</t>
        </is>
      </c>
      <c r="F9" t="inlineStr">
        <is>
          <t>บริษัทสมมติ C บทที่ 27.7</t>
        </is>
      </c>
    </row>
    <row r="10">
      <c r="A10" t="inlineStr">
        <is>
          <t>การเติบโตระยะยาว</t>
        </is>
      </c>
      <c r="B10" s="8" t="n">
        <v>0.03</v>
      </c>
      <c r="C10" t="inlineStr">
        <is>
          <t>ต่อปี</t>
        </is>
      </c>
      <c r="D10" t="inlineStr"/>
      <c r="E10" t="inlineStr">
        <is>
          <t>ตัวอย่างตัวเลขสมมติ</t>
        </is>
      </c>
      <c r="F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40" customWidth="1" min="3" max="3"/>
  </cols>
  <sheetData>
    <row r="1">
      <c r="A1" s="5" t="inlineStr">
        <is>
          <t>รายการ</t>
        </is>
      </c>
      <c r="B1" s="5" t="inlineStr">
        <is>
          <t>ค่า</t>
        </is>
      </c>
      <c r="C1" s="5" t="inlineStr">
        <is>
          <t>หน่วย/หมายเหตุ</t>
        </is>
      </c>
    </row>
    <row r="2">
      <c r="A2" t="inlineStr">
        <is>
          <t>D/E</t>
        </is>
      </c>
      <c r="B2" s="10">
        <f>debt/mcap</f>
        <v/>
      </c>
    </row>
    <row r="3">
      <c r="A3" t="inlineStr">
        <is>
          <t>เบตามีหนี้ βL = βU × [1 + (1 − T) × D/E]</t>
        </is>
      </c>
      <c r="B3" s="11">
        <f>beta_u*(1+(1-tax)*de)</f>
        <v/>
      </c>
    </row>
    <row r="4">
      <c r="A4" t="inlineStr">
        <is>
          <t>ke = rf + βL × ERP</t>
        </is>
      </c>
      <c r="B4" s="12">
        <f>rf+beta_l*erp</f>
        <v/>
      </c>
    </row>
    <row r="5">
      <c r="A5" t="inlineStr">
        <is>
          <t>น้ำหนักส่วนของผู้ถือหุ้น E/(D+E)</t>
        </is>
      </c>
      <c r="B5" s="10">
        <f>mcap/(mcap+debt)</f>
        <v/>
      </c>
    </row>
    <row r="6">
      <c r="A6" t="inlineStr">
        <is>
          <t>น้ำหนักหนี้ D/(D+E)</t>
        </is>
      </c>
      <c r="B6" s="10">
        <f>debt/(mcap+debt)</f>
        <v/>
      </c>
    </row>
    <row r="7">
      <c r="A7" t="inlineStr">
        <is>
          <t>ต้นทุนหนี้หลังภาษี</t>
        </is>
      </c>
      <c r="B7" s="12">
        <f>kd*(1-tax)</f>
        <v/>
      </c>
    </row>
    <row r="8">
      <c r="A8" t="inlineStr">
        <is>
          <t>WACC</t>
        </is>
      </c>
      <c r="B8" s="12">
        <f>we*ke+wd*kd*(1-tax)</f>
        <v/>
      </c>
    </row>
    <row r="9">
      <c r="A9" s="4" t="inlineStr">
        <is>
          <t>ตรวจ: น้ำหนักรวม = 100%</t>
        </is>
      </c>
      <c r="B9" s="13">
        <f>(we+wd-1)*100</f>
        <v/>
      </c>
      <c r="C9" s="14">
        <f>IF(ABS(B9)&lt;=0.0001,"OK","ตรวจสอบ")</f>
        <v/>
      </c>
    </row>
    <row r="11">
      <c r="A11" s="4" t="inlineStr">
        <is>
          <t>ผลของ WACC ต่อมูลค่า: EV = FCFF ÷ (WACC − g)</t>
        </is>
      </c>
    </row>
    <row r="12">
      <c r="A12" s="4" t="inlineStr">
        <is>
          <t>WACC</t>
        </is>
      </c>
      <c r="B12" s="4" t="inlineStr">
        <is>
          <t>มูลค่ากิจการ</t>
        </is>
      </c>
      <c r="C12" s="4" t="inlineStr">
        <is>
          <t>เทียบกับ WACC ที่คำนวณ</t>
        </is>
      </c>
    </row>
    <row r="13">
      <c r="A13" s="12">
        <f>wacc+(-0.01)</f>
        <v/>
      </c>
      <c r="B13" s="15">
        <f>fcff1/(A13-g)</f>
        <v/>
      </c>
      <c r="C13" s="10">
        <f>B13/(fcff1/(wacc-g))-1</f>
        <v/>
      </c>
    </row>
    <row r="14">
      <c r="A14" s="12">
        <f>wacc+(0)</f>
        <v/>
      </c>
      <c r="B14" s="15">
        <f>fcff1/(A14-g)</f>
        <v/>
      </c>
      <c r="C14" s="10">
        <f>B14/(fcff1/(wacc-g))-1</f>
        <v/>
      </c>
    </row>
    <row r="15">
      <c r="A15" s="12">
        <f>wacc+(0.01)</f>
        <v/>
      </c>
      <c r="B15" s="15">
        <f>fcff1/(A15-g)</f>
        <v/>
      </c>
      <c r="C15" s="10">
        <f>B15/(fcff1/(wacc-g))-1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2026-10-11T08:30:25Z</dcterms:created>
  <dcterms:modified xmlns:dcterms="http://purl.org/dc/terms/" xmlns:xsi="http://www.w3.org/2001/XMLSchema-instance" xsi:type="dcterms:W3CDTF">2026-10-11T08:30:25Z</dcterms:modified>
</cp:coreProperties>
</file>