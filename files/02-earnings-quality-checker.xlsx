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hecks" sheetId="3" state="visible" r:id="rId3"/>
  </sheets>
  <definedNames>
    <definedName name="cogs1">'Inputs'!$B$5</definedName>
    <definedName name="cogs0">'Inputs'!$B$6</definedName>
    <definedName name="assets1">'Inputs'!$B$15</definedName>
    <definedName name="assets0">'Inputs'!$B$16</definedName>
    <definedName name="adj_np1">'Inputs'!$B$19</definedName>
    <definedName name="adj_np0">'Inputs'!$B$20</definedName>
    <definedName name="flag_gap">'Inputs'!$B$21</definedName>
    <definedName name="rev_1">'Inputs'!$B$3</definedName>
    <definedName name="rev_0">'Inputs'!$B$4</definedName>
    <definedName name="ni_1">'Inputs'!$B$7</definedName>
    <definedName name="ni_0">'Inputs'!$B$8</definedName>
    <definedName name="cfo_1">'Inputs'!$B$9</definedName>
    <definedName name="cfo_0">'Inputs'!$B$10</definedName>
    <definedName name="ar_1">'Inputs'!$B$11</definedName>
    <definedName name="ar_0">'Inputs'!$B$12</definedName>
    <definedName name="inv_1">'Inputs'!$B$13</definedName>
    <definedName name="inv_0">'Inputs'!$B$14</definedName>
    <definedName name="sbc_1">'Inputs'!$B$17</definedName>
    <definedName name="sbc_0">'Inputs'!$B$18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</font>
    <font>
      <name val="Calibri"/>
      <color rgb="001F4E9A"/>
    </font>
    <font>
      <name val="Calibri"/>
      <b val="1"/>
      <color rgb="000B5D7A"/>
      <sz val="14"/>
    </font>
  </fonts>
  <fills count="4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ตัวตรวจคุณภาพกำไร (Earnings Quality Checker)</t>
        </is>
      </c>
    </row>
    <row r="2">
      <c r="A2" s="2" t="inlineStr">
        <is>
          <t>เทียบกำไรกับเงินสด และการเติบโตของลูกหนี้ สินค้า และรายการปรับแต่งกับการเติบโตของรายได้</t>
        </is>
      </c>
    </row>
    <row r="3">
      <c r="A3" s="2" t="inlineStr">
        <is>
          <t>บทที่เกี่ยวข้อง: บทที่ 18 และ 19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4" t="inlineStr">
        <is>
          <t>รายการ</t>
        </is>
      </c>
      <c r="B1" s="4" t="inlineStr">
        <is>
          <t>ค่า</t>
        </is>
      </c>
      <c r="C1" s="4" t="inlineStr">
        <is>
          <t>หน่วย</t>
        </is>
      </c>
      <c r="D1" s="4" t="inlineStr">
        <is>
          <t>งวด</t>
        </is>
      </c>
      <c r="E1" s="4" t="inlineStr">
        <is>
          <t>แหล่ง</t>
        </is>
      </c>
      <c r="F1" s="4" t="inlineStr">
        <is>
          <t>หน้า/แถว/หมายเหตุ</t>
        </is>
      </c>
    </row>
    <row r="2">
      <c r="A2" s="5" t="inlineStr">
        <is>
          <t>ปีล่าสุด | ปีก่อน — บริษัทสมมติ B</t>
        </is>
      </c>
    </row>
    <row r="3">
      <c r="A3" t="inlineStr">
        <is>
          <t>รายได้ — ปีล่าสุด</t>
        </is>
      </c>
      <c r="B3" s="6" t="n">
        <v>1100</v>
      </c>
      <c r="C3" t="inlineStr">
        <is>
          <t>ล้านบาท</t>
        </is>
      </c>
      <c r="D3" t="inlineStr">
        <is>
          <t>ปีล่าสุด</t>
        </is>
      </c>
      <c r="E3" t="inlineStr">
        <is>
          <t>ตัวอย่างตัวเลขสมมติ</t>
        </is>
      </c>
      <c r="F3" t="inlineStr"/>
    </row>
    <row r="4">
      <c r="A4" t="inlineStr">
        <is>
          <t>รายได้ — ปีก่อน</t>
        </is>
      </c>
      <c r="B4" s="6" t="n">
        <v>1000</v>
      </c>
      <c r="C4" t="inlineStr">
        <is>
          <t>ล้านบาท</t>
        </is>
      </c>
      <c r="D4" t="inlineStr">
        <is>
          <t>ปีก่อน</t>
        </is>
      </c>
      <c r="E4" t="inlineStr">
        <is>
          <t>ตัวอย่างตัวเลขสมมติ</t>
        </is>
      </c>
      <c r="F4" t="inlineStr"/>
    </row>
    <row r="5">
      <c r="A5" t="inlineStr">
        <is>
          <t>ต้นทุนขาย — ปีล่าสุด</t>
        </is>
      </c>
      <c r="B5" s="6" t="n">
        <v>660</v>
      </c>
      <c r="C5" t="inlineStr">
        <is>
          <t>ล้านบาท</t>
        </is>
      </c>
      <c r="D5" t="inlineStr">
        <is>
          <t>ปีล่าสุด</t>
        </is>
      </c>
      <c r="E5" t="inlineStr">
        <is>
          <t>ตัวอย่างตัวเลขสมมติ</t>
        </is>
      </c>
      <c r="F5" t="inlineStr"/>
    </row>
    <row r="6">
      <c r="A6" t="inlineStr">
        <is>
          <t>ต้นทุนขาย — ปีก่อน</t>
        </is>
      </c>
      <c r="B6" s="6" t="n">
        <v>600</v>
      </c>
      <c r="C6" t="inlineStr">
        <is>
          <t>ล้านบาท</t>
        </is>
      </c>
      <c r="D6" t="inlineStr">
        <is>
          <t>ปีก่อน</t>
        </is>
      </c>
      <c r="E6" t="inlineStr">
        <is>
          <t>ตัวอย่างตัวเลขสมมติ</t>
        </is>
      </c>
      <c r="F6" t="inlineStr"/>
    </row>
    <row r="7">
      <c r="A7" t="inlineStr">
        <is>
          <t>กำไรสุทธิ — ปีล่าสุด</t>
        </is>
      </c>
      <c r="B7" s="6" t="n">
        <v>110</v>
      </c>
      <c r="C7" t="inlineStr">
        <is>
          <t>ล้านบาท</t>
        </is>
      </c>
      <c r="D7" t="inlineStr">
        <is>
          <t>ปีล่าสุด</t>
        </is>
      </c>
      <c r="E7" t="inlineStr">
        <is>
          <t>ตัวอย่างตัวเลขสมมติ</t>
        </is>
      </c>
      <c r="F7" t="inlineStr"/>
    </row>
    <row r="8">
      <c r="A8" t="inlineStr">
        <is>
          <t>กำไรสุทธิ — ปีก่อน</t>
        </is>
      </c>
      <c r="B8" s="6" t="n">
        <v>100</v>
      </c>
      <c r="C8" t="inlineStr">
        <is>
          <t>ล้านบาท</t>
        </is>
      </c>
      <c r="D8" t="inlineStr">
        <is>
          <t>ปีก่อน</t>
        </is>
      </c>
      <c r="E8" t="inlineStr">
        <is>
          <t>ตัวอย่างตัวเลขสมมติ</t>
        </is>
      </c>
      <c r="F8" t="inlineStr"/>
    </row>
    <row r="9">
      <c r="A9" t="inlineStr">
        <is>
          <t>กระแสเงินสดจากการดำเนินงาน — ปีล่าสุด</t>
        </is>
      </c>
      <c r="B9" s="6" t="n">
        <v>80</v>
      </c>
      <c r="C9" t="inlineStr">
        <is>
          <t>ล้านบาท</t>
        </is>
      </c>
      <c r="D9" t="inlineStr">
        <is>
          <t>ปีล่าสุด</t>
        </is>
      </c>
      <c r="E9" t="inlineStr">
        <is>
          <t>ตัวอย่างตัวเลขสมมติ</t>
        </is>
      </c>
      <c r="F9" t="inlineStr"/>
    </row>
    <row r="10">
      <c r="A10" t="inlineStr">
        <is>
          <t>กระแสเงินสดจากการดำเนินงาน — ปีก่อน</t>
        </is>
      </c>
      <c r="B10" s="6" t="n">
        <v>105</v>
      </c>
      <c r="C10" t="inlineStr">
        <is>
          <t>ล้านบาท</t>
        </is>
      </c>
      <c r="D10" t="inlineStr">
        <is>
          <t>ปีก่อน</t>
        </is>
      </c>
      <c r="E10" t="inlineStr">
        <is>
          <t>ตัวอย่างตัวเลขสมมติ</t>
        </is>
      </c>
      <c r="F10" t="inlineStr"/>
    </row>
    <row r="11">
      <c r="A11" t="inlineStr">
        <is>
          <t>ลูกหนี้การค้า (ปลายปี) — ปีล่าสุด</t>
        </is>
      </c>
      <c r="B11" s="6" t="n">
        <v>230</v>
      </c>
      <c r="C11" t="inlineStr">
        <is>
          <t>ล้านบาท</t>
        </is>
      </c>
      <c r="D11" t="inlineStr">
        <is>
          <t>ปีล่าสุด</t>
        </is>
      </c>
      <c r="E11" t="inlineStr">
        <is>
          <t>ตัวอย่างตัวเลขสมมติ</t>
        </is>
      </c>
      <c r="F11" t="inlineStr"/>
    </row>
    <row r="12">
      <c r="A12" t="inlineStr">
        <is>
          <t>ลูกหนี้การค้า (ปลายปี) — ปีก่อน</t>
        </is>
      </c>
      <c r="B12" s="6" t="n">
        <v>160</v>
      </c>
      <c r="C12" t="inlineStr">
        <is>
          <t>ล้านบาท</t>
        </is>
      </c>
      <c r="D12" t="inlineStr">
        <is>
          <t>ปีก่อน</t>
        </is>
      </c>
      <c r="E12" t="inlineStr">
        <is>
          <t>ตัวอย่างตัวเลขสมมติ</t>
        </is>
      </c>
      <c r="F12" t="inlineStr"/>
    </row>
    <row r="13">
      <c r="A13" t="inlineStr">
        <is>
          <t>สินค้าคงเหลือ (ปลายปี) — ปีล่าสุด</t>
        </is>
      </c>
      <c r="B13" s="6" t="n">
        <v>190</v>
      </c>
      <c r="C13" t="inlineStr">
        <is>
          <t>ล้านบาท</t>
        </is>
      </c>
      <c r="D13" t="inlineStr">
        <is>
          <t>ปีล่าสุด</t>
        </is>
      </c>
      <c r="E13" t="inlineStr">
        <is>
          <t>ตัวอย่างตัวเลขสมมติ</t>
        </is>
      </c>
      <c r="F13" t="inlineStr"/>
    </row>
    <row r="14">
      <c r="A14" t="inlineStr">
        <is>
          <t>สินค้าคงเหลือ (ปลายปี) — ปีก่อน</t>
        </is>
      </c>
      <c r="B14" s="6" t="n">
        <v>150</v>
      </c>
      <c r="C14" t="inlineStr">
        <is>
          <t>ล้านบาท</t>
        </is>
      </c>
      <c r="D14" t="inlineStr">
        <is>
          <t>ปีก่อน</t>
        </is>
      </c>
      <c r="E14" t="inlineStr">
        <is>
          <t>ตัวอย่างตัวเลขสมมติ</t>
        </is>
      </c>
      <c r="F14" t="inlineStr"/>
    </row>
    <row r="15">
      <c r="A15" t="inlineStr">
        <is>
          <t>สินทรัพย์รวม (ปลายปี) — ปีล่าสุด</t>
        </is>
      </c>
      <c r="B15" s="6" t="n">
        <v>1300</v>
      </c>
      <c r="C15" t="inlineStr">
        <is>
          <t>ล้านบาท</t>
        </is>
      </c>
      <c r="D15" t="inlineStr">
        <is>
          <t>ปีล่าสุด</t>
        </is>
      </c>
      <c r="E15" t="inlineStr">
        <is>
          <t>ตัวอย่างตัวเลขสมมติ</t>
        </is>
      </c>
      <c r="F15" t="inlineStr"/>
    </row>
    <row r="16">
      <c r="A16" t="inlineStr">
        <is>
          <t>สินทรัพย์รวม (ปลายปี) — ปีก่อน</t>
        </is>
      </c>
      <c r="B16" s="6" t="n">
        <v>1200</v>
      </c>
      <c r="C16" t="inlineStr">
        <is>
          <t>ล้านบาท</t>
        </is>
      </c>
      <c r="D16" t="inlineStr">
        <is>
          <t>ปีก่อน</t>
        </is>
      </c>
      <c r="E16" t="inlineStr">
        <is>
          <t>ตัวอย่างตัวเลขสมมติ</t>
        </is>
      </c>
      <c r="F16" t="inlineStr"/>
    </row>
    <row r="17">
      <c r="A17" t="inlineStr">
        <is>
          <t>ค่าตอบแทนที่จ่ายเป็นหุ้น — ปีล่าสุด</t>
        </is>
      </c>
      <c r="B17" s="6" t="n">
        <v>30</v>
      </c>
      <c r="C17" t="inlineStr">
        <is>
          <t>ล้านบาท</t>
        </is>
      </c>
      <c r="D17" t="inlineStr">
        <is>
          <t>ปีล่าสุด</t>
        </is>
      </c>
      <c r="E17" t="inlineStr">
        <is>
          <t>ตัวอย่างตัวเลขสมมติ</t>
        </is>
      </c>
      <c r="F17" t="inlineStr"/>
    </row>
    <row r="18">
      <c r="A18" t="inlineStr">
        <is>
          <t>ค่าตอบแทนที่จ่ายเป็นหุ้น — ปีก่อน</t>
        </is>
      </c>
      <c r="B18" s="6" t="n">
        <v>25</v>
      </c>
      <c r="C18" t="inlineStr">
        <is>
          <t>ล้านบาท</t>
        </is>
      </c>
      <c r="D18" t="inlineStr">
        <is>
          <t>ปีก่อน</t>
        </is>
      </c>
      <c r="E18" t="inlineStr">
        <is>
          <t>ตัวอย่างตัวเลขสมมติ</t>
        </is>
      </c>
      <c r="F18" t="inlineStr"/>
    </row>
    <row r="19">
      <c r="A19" t="inlineStr">
        <is>
          <t>กำไรปรับปรุง (Non-GAAP) ที่บริษัทเสนอ — ปีล่าสุด</t>
        </is>
      </c>
      <c r="B19" s="6" t="n">
        <v>160</v>
      </c>
      <c r="C19" t="inlineStr">
        <is>
          <t>ล้านบาท</t>
        </is>
      </c>
      <c r="D19" t="inlineStr">
        <is>
          <t>ปีล่าสุด</t>
        </is>
      </c>
      <c r="E19" t="inlineStr">
        <is>
          <t>ตัวอย่างตัวเลขสมมติ</t>
        </is>
      </c>
      <c r="F19" t="inlineStr"/>
    </row>
    <row r="20">
      <c r="A20" t="inlineStr">
        <is>
          <t>กำไรปรับปรุง (Non-GAAP) ที่บริษัทเสนอ — ปีก่อน</t>
        </is>
      </c>
      <c r="B20" s="6" t="n">
        <v>125</v>
      </c>
      <c r="C20" t="inlineStr">
        <is>
          <t>ล้านบาท</t>
        </is>
      </c>
      <c r="D20" t="inlineStr">
        <is>
          <t>ปีก่อน</t>
        </is>
      </c>
      <c r="E20" t="inlineStr">
        <is>
          <t>ตัวอย่างตัวเลขสมมติ</t>
        </is>
      </c>
      <c r="F20" t="inlineStr"/>
    </row>
    <row r="21">
      <c r="A21" t="inlineStr">
        <is>
          <t>เกณฑ์เตือน: ส่วนต่างการเติบโต (จุดเปอร์เซ็นต์)</t>
        </is>
      </c>
      <c r="B21" s="7" t="n">
        <v>0.1</v>
      </c>
      <c r="C21" t="inlineStr">
        <is>
          <t>สัดส่วน</t>
        </is>
      </c>
      <c r="D21" t="inlineStr"/>
      <c r="E21" t="inlineStr">
        <is>
          <t>สมมติฐานของคุณ</t>
        </is>
      </c>
      <c r="F21" t="inlineStr">
        <is>
          <t>บทที่ 18: ใช้เป็นจุดเริ่มทบทวน ไม่ใช่กฎตายตัว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4" customWidth="1" min="3" max="3"/>
    <col width="14" customWidth="1" min="4" max="4"/>
  </cols>
  <sheetData>
    <row r="1">
      <c r="A1" s="4" t="inlineStr">
        <is>
          <t>ตัวชี้วัด</t>
        </is>
      </c>
      <c r="B1" s="4" t="inlineStr">
        <is>
          <t>ค่า</t>
        </is>
      </c>
      <c r="C1" s="4" t="inlineStr">
        <is>
          <t>สัญญาณ</t>
        </is>
      </c>
      <c r="D1" s="4" t="inlineStr">
        <is>
          <t>บท</t>
        </is>
      </c>
    </row>
    <row r="2">
      <c r="A2" t="inlineStr">
        <is>
          <t>Accruals Ratio ปีล่าสุด</t>
        </is>
      </c>
      <c r="B2" s="8">
        <f>(ni_1-cfo_1)/((assets1+assets0)/2)</f>
        <v/>
      </c>
      <c r="C2">
        <f>IF(B2&gt;0.1,"สูง ควรทบทวน","")</f>
        <v/>
      </c>
      <c r="D2" t="inlineStr">
        <is>
          <t>18.3</t>
        </is>
      </c>
    </row>
    <row r="3">
      <c r="A3" t="inlineStr">
        <is>
          <t>CFO ÷ กำไรสุทธิ ปีล่าสุด</t>
        </is>
      </c>
      <c r="B3" s="9">
        <f>cfo_1/ni_1</f>
        <v/>
      </c>
      <c r="C3">
        <f>IF(B3&lt;0.8,"เงินสดตามกำไรไม่ทัน","")</f>
        <v/>
      </c>
      <c r="D3" t="inlineStr">
        <is>
          <t>18.2</t>
        </is>
      </c>
    </row>
    <row r="4">
      <c r="A4" t="inlineStr">
        <is>
          <t>การเติบโตของรายได้</t>
        </is>
      </c>
      <c r="B4" s="8">
        <f>rev_1/rev_0-1</f>
        <v/>
      </c>
      <c r="C4" t="inlineStr"/>
      <c r="D4" t="inlineStr">
        <is>
          <t>18</t>
        </is>
      </c>
    </row>
    <row r="5">
      <c r="A5" t="inlineStr">
        <is>
          <t>การเติบโตของลูกหนี้</t>
        </is>
      </c>
      <c r="B5" s="8">
        <f>ar_1/ar_0-1</f>
        <v/>
      </c>
      <c r="C5">
        <f>IF(B6-B4&gt;flag_gap,"ลูกหนี้โตเร็วกว่ารายได้","")</f>
        <v/>
      </c>
      <c r="D5" t="inlineStr">
        <is>
          <t>18</t>
        </is>
      </c>
    </row>
    <row r="6">
      <c r="A6" t="inlineStr">
        <is>
          <t>การเติบโตของต้นทุนขาย</t>
        </is>
      </c>
      <c r="B6" s="8">
        <f>cogs1/cogs0-1</f>
        <v/>
      </c>
      <c r="C6" t="inlineStr"/>
      <c r="D6" t="inlineStr">
        <is>
          <t>18</t>
        </is>
      </c>
    </row>
    <row r="7">
      <c r="A7" t="inlineStr">
        <is>
          <t>การเติบโตของสินค้าคงเหลือ</t>
        </is>
      </c>
      <c r="B7" s="8">
        <f>inv_1/inv_0-1</f>
        <v/>
      </c>
      <c r="C7">
        <f>IF(B8-B7&gt;flag_gap,"สินค้าโตเร็วกว่าต้นทุนขาย","")</f>
        <v/>
      </c>
      <c r="D7" t="inlineStr">
        <is>
          <t>18</t>
        </is>
      </c>
    </row>
    <row r="8">
      <c r="A8" t="inlineStr">
        <is>
          <t>SBC ÷ รายได้</t>
        </is>
      </c>
      <c r="B8" s="8">
        <f>sbc_1/rev_1</f>
        <v/>
      </c>
      <c r="C8" t="inlineStr"/>
      <c r="D8" t="inlineStr">
        <is>
          <t>18, 22</t>
        </is>
      </c>
    </row>
    <row r="9">
      <c r="A9" t="inlineStr">
        <is>
          <t>ส่วนต่าง Non-GAAP ÷ กำไรตามมาตรฐาน</t>
        </is>
      </c>
      <c r="B9" s="8">
        <f>adj_np1/ni_1-1</f>
        <v/>
      </c>
      <c r="C9">
        <f>IF(B10&gt;0.3,"ส่วนต่างกว้าง อ่านรายการปรับ","")</f>
        <v/>
      </c>
      <c r="D9" t="inlineStr">
        <is>
          <t>9.6, 18</t>
        </is>
      </c>
    </row>
    <row r="10">
      <c r="A10" t="inlineStr">
        <is>
          <t>ส่วนต่าง Non-GAAP ปีก่อน</t>
        </is>
      </c>
      <c r="B10" s="8">
        <f>adj_np0/ni_0-1</f>
        <v/>
      </c>
      <c r="C10">
        <f>IF(B10-B11&gt;0.1,"ส่วนต่างกว้างขึ้น","")</f>
        <v/>
      </c>
      <c r="D10" t="inlineStr">
        <is>
          <t>18</t>
        </is>
      </c>
    </row>
    <row r="11"/>
    <row r="12">
      <c r="A12" t="inlineStr">
        <is>
          <t>สัญญาณเป็นคำถามให้ไปอ่านหมายเหตุประกอบงบ ไม่ใช่ข้อสรุปว่าบริษัทตกแต่งบัญชี (บทที่ 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