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reen" sheetId="3" state="visible" r:id="rId3"/>
  </sheets>
  <definedNames>
    <definedName name="min_roic">'Inputs'!$B$2</definedName>
    <definedName name="max_nd">'Inputs'!$B$3</definedName>
    <definedName name="min_growth">'Inputs'!$B$4</definedName>
    <definedName name="max_pe">'Inputs'!$B$5</definedName>
    <definedName name="min_cfo_ni">'Inputs'!$B$6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1F4E9A"/>
    </font>
    <font>
      <name val="Calibri"/>
      <b val="1"/>
      <color rgb="000B5D7A"/>
      <sz val="14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0B5D7A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164" fontId="2" fillId="3" borderId="0" pivotButton="0" quotePrefix="0" xfId="0"/>
    <xf numFmtId="165" fontId="2" fillId="3" borderId="0" pivotButton="0" quotePrefix="0" xfId="0"/>
    <xf numFmtId="2" fontId="2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แผ่นคัดกรองหุ้น</t>
        </is>
      </c>
    </row>
    <row r="2">
      <c r="A2" s="2" t="inlineStr">
        <is>
          <t>ตั้งเกณฑ์ในแผ่น Inputs แล้วดูว่าบริษัทใดผ่านทุกเกณฑ์ เกณฑ์เป็นจุดเริ่มคำถาม ไม่ใช่คำตอบ</t>
        </is>
      </c>
    </row>
    <row r="3">
      <c r="A3" s="2" t="inlineStr">
        <is>
          <t>บทที่เกี่ยวข้อง: บทที่ 53–54</t>
        </is>
      </c>
    </row>
    <row r="4">
      <c r="A4" s="2" t="inlineStr">
        <is>
          <t>เวอร์ชัน 2026-10-11 · ประกอบหนังสือ จากตัวเลขสู่การตัดสินใจ (Solar)</t>
        </is>
      </c>
    </row>
    <row r="5">
      <c r="A5" s="2" t="inlineStr"/>
    </row>
    <row r="6">
      <c r="A6" s="3" t="inlineStr">
        <is>
          <t>วิธีอ่านแฟ้ม (หัวข้อ 55.4)</t>
        </is>
      </c>
    </row>
    <row r="7">
      <c r="A7" s="2" t="inlineStr">
        <is>
          <t>• แผ่น Inputs: ตัวเลขที่พิมพ์ด้วยมือทั้งหมดอยู่ที่นี่ เซลล์สีเหลืองตัวอักษรน้ำเงินคือค่าที่คุณเปลี่ยนได้ ทุกแถวมีหน่วย งวด แหล่ง และหน้าหรือแถว</t>
        </is>
      </c>
    </row>
    <row r="8">
      <c r="A8" s="2" t="inlineStr">
        <is>
          <t>• แผ่นคำนวณ: มีแต่สูตร อ้างชื่อเซลล์จากแผ่น Inputs (ดูชื่อได้ที่ Formulas › Name Manager)</t>
        </is>
      </c>
    </row>
    <row r="9">
      <c r="A9" s="2" t="inlineStr">
        <is>
          <t>• เซลล์สีเขียว 'ตรวจ': คำนวณสองทางแล้วเทียบกัน ควรแสดง OK ถ้าแสดง 'ตรวจสอบ' ให้หาว่าข้อมูลนำเข้าตัวใดผิด</t>
        </is>
      </c>
    </row>
    <row r="10">
      <c r="A10" s="2" t="inlineStr">
        <is>
          <t>• ผลลัพธ์เป็นช่วงหรือตารางความอ่อนไหว ไม่ใช่ตัวเลขเดียว (บทที่ 29)</t>
        </is>
      </c>
    </row>
    <row r="11">
      <c r="A11" s="2" t="inlineStr"/>
    </row>
    <row r="12">
      <c r="A12" s="3" t="inlineStr">
        <is>
          <t>ตัวเลขตั้งต้นในแฟ้มนี้เป็นตัวอย่างตัวเลขสมมติของบริษัทสมมติ ไม่ใช่ข้อมูลของบริษัทจริง แทนด้วยข้อมูลของคุณเอง</t>
        </is>
      </c>
    </row>
    <row r="13">
      <c r="A13" s="2" t="inlineStr"/>
    </row>
    <row r="14">
      <c r="A14" s="2" t="inlineStr">
        <is>
          <t>เนื้อหาเพื่อการศึกษา ไม่ใช่คำแนะนำให้ซื้อ ขาย หรือถือหลักทรัพย์ใด และไม่มีราคาเป้าหมาย ผลในอดีตและตัวเลขสมมติไม่รับประกันผลในอนาคต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8" customWidth="1" min="4" max="4"/>
    <col width="34" customWidth="1" min="5" max="5"/>
    <col width="46" customWidth="1" min="6" max="6"/>
  </cols>
  <sheetData>
    <row r="1">
      <c r="A1" s="4" t="inlineStr">
        <is>
          <t>รายการ</t>
        </is>
      </c>
      <c r="B1" s="4" t="inlineStr">
        <is>
          <t>ค่า</t>
        </is>
      </c>
      <c r="C1" s="4" t="inlineStr">
        <is>
          <t>หน่วย</t>
        </is>
      </c>
      <c r="D1" s="4" t="inlineStr">
        <is>
          <t>งวด</t>
        </is>
      </c>
      <c r="E1" s="4" t="inlineStr">
        <is>
          <t>แหล่ง</t>
        </is>
      </c>
      <c r="F1" s="4" t="inlineStr">
        <is>
          <t>หน้า/แถว/หมายเหตุ</t>
        </is>
      </c>
    </row>
    <row r="2">
      <c r="A2" t="inlineStr">
        <is>
          <t>ROIC ขั้นต่ำ</t>
        </is>
      </c>
      <c r="B2" s="5" t="n">
        <v>0.12</v>
      </c>
      <c r="C2" t="inlineStr">
        <is>
          <t>สัดส่วน</t>
        </is>
      </c>
      <c r="D2" t="inlineStr"/>
      <c r="E2" t="inlineStr">
        <is>
          <t>เกณฑ์ของคุณ</t>
        </is>
      </c>
      <c r="F2" t="inlineStr">
        <is>
          <t>บทที่ 53</t>
        </is>
      </c>
    </row>
    <row r="3">
      <c r="A3" t="inlineStr">
        <is>
          <t>Net Debt/EBITDA สูงสุด</t>
        </is>
      </c>
      <c r="B3" s="6" t="n">
        <v>2.5</v>
      </c>
      <c r="C3" t="inlineStr">
        <is>
          <t>เท่า</t>
        </is>
      </c>
      <c r="D3" t="inlineStr"/>
      <c r="E3" t="inlineStr">
        <is>
          <t>เกณฑ์ของคุณ</t>
        </is>
      </c>
      <c r="F3" t="inlineStr"/>
    </row>
    <row r="4">
      <c r="A4" t="inlineStr">
        <is>
          <t>การเติบโตของรายได้ 3 ปีขั้นต่ำ</t>
        </is>
      </c>
      <c r="B4" s="5" t="n">
        <v>0.05</v>
      </c>
      <c r="C4" t="inlineStr">
        <is>
          <t>ต่อปี</t>
        </is>
      </c>
      <c r="D4" t="inlineStr"/>
      <c r="E4" t="inlineStr">
        <is>
          <t>เกณฑ์ของคุณ</t>
        </is>
      </c>
      <c r="F4" t="inlineStr"/>
    </row>
    <row r="5">
      <c r="A5" t="inlineStr">
        <is>
          <t>P/E สูงสุด</t>
        </is>
      </c>
      <c r="B5" s="6" t="n">
        <v>25</v>
      </c>
      <c r="C5" t="inlineStr">
        <is>
          <t>เท่า</t>
        </is>
      </c>
      <c r="D5" t="inlineStr"/>
      <c r="E5" t="inlineStr">
        <is>
          <t>เกณฑ์ของคุณ</t>
        </is>
      </c>
      <c r="F5" t="inlineStr">
        <is>
          <t>P/E ต่ำไม่ได้แปลว่าถูกเสมอ (บทที่ 24)</t>
        </is>
      </c>
    </row>
    <row r="6">
      <c r="A6" t="inlineStr">
        <is>
          <t>CFO ÷ กำไรสุทธิขั้นต่ำ</t>
        </is>
      </c>
      <c r="B6" s="7" t="n">
        <v>0.8</v>
      </c>
      <c r="C6" t="inlineStr">
        <is>
          <t>เท่า</t>
        </is>
      </c>
      <c r="D6" t="inlineStr"/>
      <c r="E6" t="inlineStr">
        <is>
          <t>เกณฑ์ของคุณ</t>
        </is>
      </c>
      <c r="F6" t="inlineStr">
        <is>
          <t>บทที่ 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9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1" customWidth="1" min="11" max="11"/>
    <col width="13" customWidth="1" min="12" max="12"/>
  </cols>
  <sheetData>
    <row r="1">
      <c r="A1" s="4" t="inlineStr">
        <is>
          <t>บริษัท</t>
        </is>
      </c>
      <c r="B1" s="4" t="inlineStr">
        <is>
          <t>ROIC</t>
        </is>
      </c>
      <c r="C1" s="4" t="inlineStr">
        <is>
          <t>Net Debt/EBITDA</t>
        </is>
      </c>
      <c r="D1" s="4" t="inlineStr">
        <is>
          <t>การเติบโต 3 ปี</t>
        </is>
      </c>
      <c r="E1" s="4" t="inlineStr">
        <is>
          <t>P/E</t>
        </is>
      </c>
      <c r="F1" s="4" t="inlineStr">
        <is>
          <t>CFO ÷ กำไร</t>
        </is>
      </c>
      <c r="G1" s="4" t="inlineStr">
        <is>
          <t>ผ่าน ROIC</t>
        </is>
      </c>
      <c r="H1" s="4" t="inlineStr">
        <is>
          <t>ผ่านหนี้</t>
        </is>
      </c>
      <c r="I1" s="4" t="inlineStr">
        <is>
          <t>ผ่านการเติบโต</t>
        </is>
      </c>
      <c r="J1" s="4" t="inlineStr">
        <is>
          <t>ผ่าน P/E</t>
        </is>
      </c>
      <c r="K1" s="4" t="inlineStr">
        <is>
          <t>ผ่านเงินสด</t>
        </is>
      </c>
      <c r="L1" s="4" t="inlineStr">
        <is>
          <t>ผ่านทุกเกณฑ์</t>
        </is>
      </c>
    </row>
    <row r="2">
      <c r="A2" s="8" t="inlineStr">
        <is>
          <t>บริษัทสมมติ A</t>
        </is>
      </c>
      <c r="B2" s="5" t="n">
        <v>0.18</v>
      </c>
      <c r="C2" s="8" t="n">
        <v>1.2</v>
      </c>
      <c r="D2" s="5" t="n">
        <v>0.09</v>
      </c>
      <c r="E2" s="8" t="n">
        <v>22</v>
      </c>
      <c r="F2" s="8" t="n">
        <v>1.1</v>
      </c>
      <c r="G2">
        <f>IF(B2&gt;=min_roic,"✓","")</f>
        <v/>
      </c>
      <c r="H2">
        <f>IF(C2&lt;=max_nd,"✓","")</f>
        <v/>
      </c>
      <c r="I2">
        <f>IF(D2&gt;=min_growth,"✓","")</f>
        <v/>
      </c>
      <c r="J2">
        <f>IF(E2&lt;=max_pe,"✓","")</f>
        <v/>
      </c>
      <c r="K2">
        <f>IF(F2&gt;=min_cfo_ni,"✓","")</f>
        <v/>
      </c>
      <c r="L2">
        <f>IF(COUNTIF(G2:K2,"✓")=5,"ผ่าน","")</f>
        <v/>
      </c>
    </row>
    <row r="3">
      <c r="A3" s="8" t="inlineStr">
        <is>
          <t>บริษัทสมมติ B</t>
        </is>
      </c>
      <c r="B3" s="5" t="n">
        <v>0.09</v>
      </c>
      <c r="C3" s="8" t="n">
        <v>0.5</v>
      </c>
      <c r="D3" s="5" t="n">
        <v>0.12</v>
      </c>
      <c r="E3" s="8" t="n">
        <v>15</v>
      </c>
      <c r="F3" s="8" t="n">
        <v>0.9</v>
      </c>
      <c r="G3">
        <f>IF(B3&gt;=min_roic,"✓","")</f>
        <v/>
      </c>
      <c r="H3">
        <f>IF(C3&lt;=max_nd,"✓","")</f>
        <v/>
      </c>
      <c r="I3">
        <f>IF(D3&gt;=min_growth,"✓","")</f>
        <v/>
      </c>
      <c r="J3">
        <f>IF(E3&lt;=max_pe,"✓","")</f>
        <v/>
      </c>
      <c r="K3">
        <f>IF(F3&gt;=min_cfo_ni,"✓","")</f>
        <v/>
      </c>
      <c r="L3">
        <f>IF(COUNTIF(G3:K3,"✓")=5,"ผ่าน","")</f>
        <v/>
      </c>
    </row>
    <row r="4">
      <c r="A4" s="8" t="inlineStr">
        <is>
          <t>บริษัทสมมติ C</t>
        </is>
      </c>
      <c r="B4" s="5" t="n">
        <v>0.22</v>
      </c>
      <c r="C4" s="8" t="n">
        <v>3.1</v>
      </c>
      <c r="D4" s="5" t="n">
        <v>0.07000000000000001</v>
      </c>
      <c r="E4" s="8" t="n">
        <v>18</v>
      </c>
      <c r="F4" s="8" t="n">
        <v>1</v>
      </c>
      <c r="G4">
        <f>IF(B4&gt;=min_roic,"✓","")</f>
        <v/>
      </c>
      <c r="H4">
        <f>IF(C4&lt;=max_nd,"✓","")</f>
        <v/>
      </c>
      <c r="I4">
        <f>IF(D4&gt;=min_growth,"✓","")</f>
        <v/>
      </c>
      <c r="J4">
        <f>IF(E4&lt;=max_pe,"✓","")</f>
        <v/>
      </c>
      <c r="K4">
        <f>IF(F4&gt;=min_cfo_ni,"✓","")</f>
        <v/>
      </c>
      <c r="L4">
        <f>IF(COUNTIF(G4:K4,"✓")=5,"ผ่าน","")</f>
        <v/>
      </c>
    </row>
    <row r="5">
      <c r="A5" s="8" t="inlineStr">
        <is>
          <t>บริษัทสมมติ D</t>
        </is>
      </c>
      <c r="B5" s="5" t="n">
        <v>0.15</v>
      </c>
      <c r="C5" s="8" t="n">
        <v>1.8</v>
      </c>
      <c r="D5" s="5" t="n">
        <v>0.03</v>
      </c>
      <c r="E5" s="8" t="n">
        <v>12</v>
      </c>
      <c r="F5" s="8" t="n">
        <v>0.6</v>
      </c>
      <c r="G5">
        <f>IF(B5&gt;=min_roic,"✓","")</f>
        <v/>
      </c>
      <c r="H5">
        <f>IF(C5&lt;=max_nd,"✓","")</f>
        <v/>
      </c>
      <c r="I5">
        <f>IF(D5&gt;=min_growth,"✓","")</f>
        <v/>
      </c>
      <c r="J5">
        <f>IF(E5&lt;=max_pe,"✓","")</f>
        <v/>
      </c>
      <c r="K5">
        <f>IF(F5&gt;=min_cfo_ni,"✓","")</f>
        <v/>
      </c>
      <c r="L5">
        <f>IF(COUNTIF(G5:K5,"✓")=5,"ผ่าน","")</f>
        <v/>
      </c>
    </row>
    <row r="6">
      <c r="A6" s="8" t="inlineStr">
        <is>
          <t>บริษัทสมมติ E</t>
        </is>
      </c>
      <c r="B6" s="5" t="n">
        <v>0.14</v>
      </c>
      <c r="C6" s="8" t="n">
        <v>0.9</v>
      </c>
      <c r="D6" s="5" t="n">
        <v>0.06</v>
      </c>
      <c r="E6" s="8" t="n">
        <v>28</v>
      </c>
      <c r="F6" s="8" t="n">
        <v>1.2</v>
      </c>
      <c r="G6">
        <f>IF(B6&gt;=min_roic,"✓","")</f>
        <v/>
      </c>
      <c r="H6">
        <f>IF(C6&lt;=max_nd,"✓","")</f>
        <v/>
      </c>
      <c r="I6">
        <f>IF(D6&gt;=min_growth,"✓","")</f>
        <v/>
      </c>
      <c r="J6">
        <f>IF(E6&lt;=max_pe,"✓","")</f>
        <v/>
      </c>
      <c r="K6">
        <f>IF(F6&gt;=min_cfo_ni,"✓","")</f>
        <v/>
      </c>
      <c r="L6">
        <f>IF(COUNTIF(G6:K6,"✓")=5,"ผ่าน","")</f>
        <v/>
      </c>
    </row>
    <row r="7">
      <c r="A7" s="8" t="inlineStr">
        <is>
          <t>บริษัทสมมติ F</t>
        </is>
      </c>
      <c r="B7" s="5" t="n">
        <v>0.2</v>
      </c>
      <c r="C7" s="8" t="n">
        <v>2</v>
      </c>
      <c r="D7" s="5" t="n">
        <v>0.11</v>
      </c>
      <c r="E7" s="8" t="n">
        <v>24</v>
      </c>
      <c r="F7" s="8" t="n">
        <v>0.95</v>
      </c>
      <c r="G7">
        <f>IF(B7&gt;=min_roic,"✓","")</f>
        <v/>
      </c>
      <c r="H7">
        <f>IF(C7&lt;=max_nd,"✓","")</f>
        <v/>
      </c>
      <c r="I7">
        <f>IF(D7&gt;=min_growth,"✓","")</f>
        <v/>
      </c>
      <c r="J7">
        <f>IF(E7&lt;=max_pe,"✓","")</f>
        <v/>
      </c>
      <c r="K7">
        <f>IF(F7&gt;=min_cfo_ni,"✓","")</f>
        <v/>
      </c>
      <c r="L7">
        <f>IF(COUNTIF(G7:K7,"✓")=5,"ผ่าน","")</f>
        <v/>
      </c>
    </row>
    <row r="9">
      <c r="A9" t="inlineStr">
        <is>
          <t>จำนวนที่ผ่านทุกเกณฑ์</t>
        </is>
      </c>
      <c r="L9">
        <f>COUNTIF(L2:L7,"ผ่าน")</f>
        <v/>
      </c>
    </row>
    <row r="10">
      <c r="A10" t="inlineStr">
        <is>
          <t>ข้อมูลในตารางเป็นตัวเลขสมมติ ระวังความลำเอียงจากผู้อยู่รอดและการปรับเกณฑ์เข้ากับอดีต (บทที่ 54.4)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2026-10-11T08:30:25Z</dcterms:created>
  <dcterms:modified xmlns:dcterms="http://purl.org/dc/terms/" xmlns:xsi="http://www.w3.org/2001/XMLSchema-instance" xsi:type="dcterms:W3CDTF">2026-10-11T08:30:25Z</dcterms:modified>
</cp:coreProperties>
</file>