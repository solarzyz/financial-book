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ashboard" sheetId="3" state="visible" r:id="rId3"/>
  </sheets>
  <definedNames>
    <definedName name="rev">'Inputs'!$B$3</definedName>
    <definedName name="cogs">'Inputs'!$B$4</definedName>
    <definedName name="ebit">'Inputs'!$B$5</definedName>
    <definedName name="da">'Inputs'!$B$6</definedName>
    <definedName name="int_exp">'Inputs'!$B$7</definedName>
    <definedName name="ni">'Inputs'!$B$8</definedName>
    <definedName name="tax_rate">'Inputs'!$B$9</definedName>
    <definedName name="assets1">'Inputs'!$B$11</definedName>
    <definedName name="assets0">'Inputs'!$B$12</definedName>
    <definedName name="equity1">'Inputs'!$B$13</definedName>
    <definedName name="equity0">'Inputs'!$B$14</definedName>
    <definedName name="cash1">'Inputs'!$B$19</definedName>
    <definedName name="cash0">'Inputs'!$B$20</definedName>
    <definedName name="debt1">'Inputs'!$B$27</definedName>
    <definedName name="debt0">'Inputs'!$B$28</definedName>
    <definedName name="lease1">'Inputs'!$B$29</definedName>
    <definedName name="lease0">'Inputs'!$B$30</definedName>
    <definedName name="nonop1">'Inputs'!$B$31</definedName>
    <definedName name="nonop0">'Inputs'!$B$32</definedName>
    <definedName name="liab_other1">'Inputs'!$B$33</definedName>
    <definedName name="cfo">'Inputs'!$B$34</definedName>
    <definedName name="net_margin">'Dashboard'!$B$5</definedName>
    <definedName name="avg_assets">'Dashboard'!$B$6</definedName>
    <definedName name="avg_equity">'Dashboard'!$B$7</definedName>
    <definedName name="roe">'Dashboard'!$B$9</definedName>
    <definedName name="turnover">'Dashboard'!$B$10</definedName>
    <definedName name="multiplier">'Dashboard'!$B$11</definedName>
    <definedName name="dupont">'Dashboard'!$B$12</definedName>
    <definedName name="nopat">'Dashboard'!$B$16</definedName>
    <definedName name="dso">'Dashboard'!$B$30</definedName>
    <definedName name="dio">'Dashboard'!$B$31</definedName>
    <definedName name="dpo">'Dashboard'!$B$32</definedName>
    <definedName name="ca_1">'Inputs'!$B$15</definedName>
    <definedName name="ca_0">'Inputs'!$B$16</definedName>
    <definedName name="cl_1">'Inputs'!$B$17</definedName>
    <definedName name="cl_0">'Inputs'!$B$18</definedName>
    <definedName name="ar_1">'Inputs'!$B$21</definedName>
    <definedName name="ar_0">'Inputs'!$B$22</definedName>
    <definedName name="inv_1">'Inputs'!$B$23</definedName>
    <definedName name="inv_0">'Inputs'!$B$24</definedName>
    <definedName name="ap_1">'Inputs'!$B$25</definedName>
    <definedName name="ap_0">'Inputs'!$B$26</definedName>
    <definedName name="ic_1">'Dashboard'!$B$17</definedName>
    <definedName name="ic_0">'Dashboard'!$B$18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  <font>
      <name val="Calibri"/>
      <color rgb="001F4E9A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164" fontId="3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แผงอัตราส่วน (Ratio Dashboard)</t>
        </is>
      </c>
    </row>
    <row r="2">
      <c r="A2" s="2" t="inlineStr">
        <is>
          <t>อัตรากำไร ROA ROE DuPont ROIC สภาพคล่อง ภาระหนี้ และวงจรเงินสด จากงบปีล่าสุดและปีก่อน</t>
        </is>
      </c>
    </row>
    <row r="3">
      <c r="A3" s="2" t="inlineStr">
        <is>
          <t>บทที่เกี่ยวข้อง: ภาค 4 (บทที่ 14–17)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5">
      <c r="A15" s="2" t="inlineStr"/>
    </row>
    <row r="16">
      <c r="A16" s="3" t="inlineStr">
        <is>
          <t>สถานะเซลล์ตรวจทั้งหมด:</t>
        </is>
      </c>
    </row>
    <row r="17">
      <c r="A17" s="4">
        <f>IF(AND('Dashboard'!C13="OK",'Dashboard'!C20="OK"),"ทุกเซลล์ตรวจผ่าน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s="4" t="inlineStr">
        <is>
          <t>งบกำไรขาดทุน (ปีล่าสุด) — บริษัทสมมติ A</t>
        </is>
      </c>
    </row>
    <row r="3">
      <c r="A3" t="inlineStr">
        <is>
          <t>รายได้</t>
        </is>
      </c>
      <c r="B3" s="6" t="n">
        <v>1000</v>
      </c>
      <c r="C3" t="inlineStr">
        <is>
          <t>ล้านบาท</t>
        </is>
      </c>
      <c r="D3" t="inlineStr">
        <is>
          <t>ปีล่าสุด</t>
        </is>
      </c>
      <c r="E3" t="inlineStr">
        <is>
          <t>ตัวอย่างตัวเลขสมมติ</t>
        </is>
      </c>
      <c r="F3" t="inlineStr"/>
    </row>
    <row r="4">
      <c r="A4" t="inlineStr">
        <is>
          <t>ต้นทุนขาย</t>
        </is>
      </c>
      <c r="B4" s="6" t="n">
        <v>600</v>
      </c>
      <c r="C4" t="inlineStr">
        <is>
          <t>ล้านบาท</t>
        </is>
      </c>
      <c r="D4" t="inlineStr">
        <is>
          <t>ปีล่าสุด</t>
        </is>
      </c>
      <c r="E4" t="inlineStr">
        <is>
          <t>ตัวอย่างตัวเลขสมมติ</t>
        </is>
      </c>
      <c r="F4" t="inlineStr"/>
    </row>
    <row r="5">
      <c r="A5" t="inlineStr">
        <is>
          <t>กำไรจากการดำเนินงาน (EBIT)</t>
        </is>
      </c>
      <c r="B5" s="6" t="n">
        <v>150</v>
      </c>
      <c r="C5" t="inlineStr">
        <is>
          <t>ล้านบาท</t>
        </is>
      </c>
      <c r="D5" t="inlineStr">
        <is>
          <t>ปีล่าสุด</t>
        </is>
      </c>
      <c r="E5" t="inlineStr">
        <is>
          <t>ตัวอย่างตัวเลขสมมติ</t>
        </is>
      </c>
      <c r="F5" t="inlineStr"/>
    </row>
    <row r="6">
      <c r="A6" t="inlineStr">
        <is>
          <t>ค่าเสื่อมราคาและค่าตัดจำหน่าย</t>
        </is>
      </c>
      <c r="B6" s="6" t="n">
        <v>40</v>
      </c>
      <c r="C6" t="inlineStr">
        <is>
          <t>ล้านบาท</t>
        </is>
      </c>
      <c r="D6" t="inlineStr">
        <is>
          <t>ปีล่าสุด</t>
        </is>
      </c>
      <c r="E6" t="inlineStr">
        <is>
          <t>ตัวอย่างตัวเลขสมมติ</t>
        </is>
      </c>
      <c r="F6" t="inlineStr"/>
    </row>
    <row r="7">
      <c r="A7" t="inlineStr">
        <is>
          <t>ดอกเบี้ยจ่าย</t>
        </is>
      </c>
      <c r="B7" s="6" t="n">
        <v>15</v>
      </c>
      <c r="C7" t="inlineStr">
        <is>
          <t>ล้านบาท</t>
        </is>
      </c>
      <c r="D7" t="inlineStr">
        <is>
          <t>ปีล่าสุด</t>
        </is>
      </c>
      <c r="E7" t="inlineStr">
        <is>
          <t>ตัวอย่างตัวเลขสมมติ</t>
        </is>
      </c>
      <c r="F7" t="inlineStr"/>
    </row>
    <row r="8">
      <c r="A8" t="inlineStr">
        <is>
          <t>กำไรสุทธิส่วนของบริษัท</t>
        </is>
      </c>
      <c r="B8" s="6" t="n">
        <v>100</v>
      </c>
      <c r="C8" t="inlineStr">
        <is>
          <t>ล้านบาท</t>
        </is>
      </c>
      <c r="D8" t="inlineStr">
        <is>
          <t>ปีล่าสุด</t>
        </is>
      </c>
      <c r="E8" t="inlineStr">
        <is>
          <t>ตัวอย่างตัวเลขสมมติ</t>
        </is>
      </c>
      <c r="F8" t="inlineStr"/>
    </row>
    <row r="9">
      <c r="A9" t="inlineStr">
        <is>
          <t>อัตราภาษี (สำหรับ NOPAT)</t>
        </is>
      </c>
      <c r="B9" s="7" t="n">
        <v>0.2</v>
      </c>
      <c r="C9" t="inlineStr">
        <is>
          <t>สัดส่วน</t>
        </is>
      </c>
      <c r="D9" t="inlineStr"/>
      <c r="E9" t="inlineStr">
        <is>
          <t>ตัวอย่างตัวเลขสมมติ</t>
        </is>
      </c>
      <c r="F9" t="inlineStr">
        <is>
          <t>บทที่ 16.2</t>
        </is>
      </c>
    </row>
    <row r="10">
      <c r="A10" s="4" t="inlineStr">
        <is>
          <t>งบแสดงฐานะการเงิน (ปลายปีล่าสุด | ปลายปีก่อน)</t>
        </is>
      </c>
    </row>
    <row r="11">
      <c r="A11" t="inlineStr">
        <is>
          <t>สินทรัพย์รวม — ปลายปีล่าสุด</t>
        </is>
      </c>
      <c r="B11" s="6" t="n">
        <v>1200</v>
      </c>
      <c r="C11" t="inlineStr">
        <is>
          <t>ล้านบาท</t>
        </is>
      </c>
      <c r="D11" t="inlineStr">
        <is>
          <t>ปลายปีล่าสุด</t>
        </is>
      </c>
      <c r="E11" t="inlineStr">
        <is>
          <t>ตัวอย่างตัวเลขสมมติ</t>
        </is>
      </c>
      <c r="F11" t="inlineStr"/>
    </row>
    <row r="12">
      <c r="A12" t="inlineStr">
        <is>
          <t>สินทรัพย์รวม — ปลายปีก่อน</t>
        </is>
      </c>
      <c r="B12" s="6" t="n">
        <v>1100</v>
      </c>
      <c r="C12" t="inlineStr">
        <is>
          <t>ล้านบาท</t>
        </is>
      </c>
      <c r="D12" t="inlineStr">
        <is>
          <t>ปลายปีก่อน</t>
        </is>
      </c>
      <c r="E12" t="inlineStr">
        <is>
          <t>ตัวอย่างตัวเลขสมมติ</t>
        </is>
      </c>
      <c r="F12" t="inlineStr"/>
    </row>
    <row r="13">
      <c r="A13" t="inlineStr">
        <is>
          <t>ส่วนของผู้ถือหุ้นบริษัท — ปลายปีล่าสุด</t>
        </is>
      </c>
      <c r="B13" s="6" t="n">
        <v>600</v>
      </c>
      <c r="C13" t="inlineStr">
        <is>
          <t>ล้านบาท</t>
        </is>
      </c>
      <c r="D13" t="inlineStr">
        <is>
          <t>ปลายปีล่าสุด</t>
        </is>
      </c>
      <c r="E13" t="inlineStr">
        <is>
          <t>ตัวอย่างตัวเลขสมมติ</t>
        </is>
      </c>
      <c r="F13" t="inlineStr"/>
    </row>
    <row r="14">
      <c r="A14" t="inlineStr">
        <is>
          <t>ส่วนของผู้ถือหุ้นบริษัท — ปลายปีก่อน</t>
        </is>
      </c>
      <c r="B14" s="6" t="n">
        <v>560</v>
      </c>
      <c r="C14" t="inlineStr">
        <is>
          <t>ล้านบาท</t>
        </is>
      </c>
      <c r="D14" t="inlineStr">
        <is>
          <t>ปลายปีก่อน</t>
        </is>
      </c>
      <c r="E14" t="inlineStr">
        <is>
          <t>ตัวอย่างตัวเลขสมมติ</t>
        </is>
      </c>
      <c r="F14" t="inlineStr"/>
    </row>
    <row r="15">
      <c r="A15" t="inlineStr">
        <is>
          <t>สินทรัพย์หมุนเวียน — ปลายปีล่าสุด</t>
        </is>
      </c>
      <c r="B15" s="6" t="n">
        <v>450</v>
      </c>
      <c r="C15" t="inlineStr">
        <is>
          <t>ล้านบาท</t>
        </is>
      </c>
      <c r="D15" t="inlineStr">
        <is>
          <t>ปลายปีล่าสุด</t>
        </is>
      </c>
      <c r="E15" t="inlineStr">
        <is>
          <t>ตัวอย่างตัวเลขสมมติ</t>
        </is>
      </c>
      <c r="F15" t="inlineStr"/>
    </row>
    <row r="16">
      <c r="A16" t="inlineStr">
        <is>
          <t>สินทรัพย์หมุนเวียน — ปลายปีก่อน</t>
        </is>
      </c>
      <c r="B16" s="6" t="n">
        <v>420</v>
      </c>
      <c r="C16" t="inlineStr">
        <is>
          <t>ล้านบาท</t>
        </is>
      </c>
      <c r="D16" t="inlineStr">
        <is>
          <t>ปลายปีก่อน</t>
        </is>
      </c>
      <c r="E16" t="inlineStr">
        <is>
          <t>ตัวอย่างตัวเลขสมมติ</t>
        </is>
      </c>
      <c r="F16" t="inlineStr"/>
    </row>
    <row r="17">
      <c r="A17" t="inlineStr">
        <is>
          <t>หนี้สินหมุนเวียน — ปลายปีล่าสุด</t>
        </is>
      </c>
      <c r="B17" s="6" t="n">
        <v>300</v>
      </c>
      <c r="C17" t="inlineStr">
        <is>
          <t>ล้านบาท</t>
        </is>
      </c>
      <c r="D17" t="inlineStr">
        <is>
          <t>ปลายปีล่าสุด</t>
        </is>
      </c>
      <c r="E17" t="inlineStr">
        <is>
          <t>ตัวอย่างตัวเลขสมมติ</t>
        </is>
      </c>
      <c r="F17" t="inlineStr"/>
    </row>
    <row r="18">
      <c r="A18" t="inlineStr">
        <is>
          <t>หนี้สินหมุนเวียน — ปลายปีก่อน</t>
        </is>
      </c>
      <c r="B18" s="6" t="n">
        <v>280</v>
      </c>
      <c r="C18" t="inlineStr">
        <is>
          <t>ล้านบาท</t>
        </is>
      </c>
      <c r="D18" t="inlineStr">
        <is>
          <t>ปลายปีก่อน</t>
        </is>
      </c>
      <c r="E18" t="inlineStr">
        <is>
          <t>ตัวอย่างตัวเลขสมมติ</t>
        </is>
      </c>
      <c r="F18" t="inlineStr"/>
    </row>
    <row r="19">
      <c r="A19" t="inlineStr">
        <is>
          <t>เงินสดและเงินลงทุนระยะสั้น — ปลายปีล่าสุด</t>
        </is>
      </c>
      <c r="B19" s="6" t="n">
        <v>120</v>
      </c>
      <c r="C19" t="inlineStr">
        <is>
          <t>ล้านบาท</t>
        </is>
      </c>
      <c r="D19" t="inlineStr">
        <is>
          <t>ปลายปีล่าสุด</t>
        </is>
      </c>
      <c r="E19" t="inlineStr">
        <is>
          <t>ตัวอย่างตัวเลขสมมติ</t>
        </is>
      </c>
      <c r="F19" t="inlineStr"/>
    </row>
    <row r="20">
      <c r="A20" t="inlineStr">
        <is>
          <t>เงินสดและเงินลงทุนระยะสั้น — ปลายปีก่อน</t>
        </is>
      </c>
      <c r="B20" s="6" t="n">
        <v>100</v>
      </c>
      <c r="C20" t="inlineStr">
        <is>
          <t>ล้านบาท</t>
        </is>
      </c>
      <c r="D20" t="inlineStr">
        <is>
          <t>ปลายปีก่อน</t>
        </is>
      </c>
      <c r="E20" t="inlineStr">
        <is>
          <t>ตัวอย่างตัวเลขสมมติ</t>
        </is>
      </c>
      <c r="F20" t="inlineStr"/>
    </row>
    <row r="21">
      <c r="A21" t="inlineStr">
        <is>
          <t>ลูกหนี้การค้า — ปลายปีล่าสุด</t>
        </is>
      </c>
      <c r="B21" s="6" t="n">
        <v>150</v>
      </c>
      <c r="C21" t="inlineStr">
        <is>
          <t>ล้านบาท</t>
        </is>
      </c>
      <c r="D21" t="inlineStr">
        <is>
          <t>ปลายปีล่าสุด</t>
        </is>
      </c>
      <c r="E21" t="inlineStr">
        <is>
          <t>ตัวอย่างตัวเลขสมมติ</t>
        </is>
      </c>
      <c r="F21" t="inlineStr"/>
    </row>
    <row r="22">
      <c r="A22" t="inlineStr">
        <is>
          <t>ลูกหนี้การค้า — ปลายปีก่อน</t>
        </is>
      </c>
      <c r="B22" s="6" t="n">
        <v>140</v>
      </c>
      <c r="C22" t="inlineStr">
        <is>
          <t>ล้านบาท</t>
        </is>
      </c>
      <c r="D22" t="inlineStr">
        <is>
          <t>ปลายปีก่อน</t>
        </is>
      </c>
      <c r="E22" t="inlineStr">
        <is>
          <t>ตัวอย่างตัวเลขสมมติ</t>
        </is>
      </c>
      <c r="F22" t="inlineStr"/>
    </row>
    <row r="23">
      <c r="A23" t="inlineStr">
        <is>
          <t>สินค้าคงเหลือ — ปลายปีล่าสุด</t>
        </is>
      </c>
      <c r="B23" s="6" t="n">
        <v>160</v>
      </c>
      <c r="C23" t="inlineStr">
        <is>
          <t>ล้านบาท</t>
        </is>
      </c>
      <c r="D23" t="inlineStr">
        <is>
          <t>ปลายปีล่าสุด</t>
        </is>
      </c>
      <c r="E23" t="inlineStr">
        <is>
          <t>ตัวอย่างตัวเลขสมมติ</t>
        </is>
      </c>
      <c r="F23" t="inlineStr"/>
    </row>
    <row r="24">
      <c r="A24" t="inlineStr">
        <is>
          <t>สินค้าคงเหลือ — ปลายปีก่อน</t>
        </is>
      </c>
      <c r="B24" s="6" t="n">
        <v>150</v>
      </c>
      <c r="C24" t="inlineStr">
        <is>
          <t>ล้านบาท</t>
        </is>
      </c>
      <c r="D24" t="inlineStr">
        <is>
          <t>ปลายปีก่อน</t>
        </is>
      </c>
      <c r="E24" t="inlineStr">
        <is>
          <t>ตัวอย่างตัวเลขสมมติ</t>
        </is>
      </c>
      <c r="F24" t="inlineStr"/>
    </row>
    <row r="25">
      <c r="A25" t="inlineStr">
        <is>
          <t>เจ้าหนี้การค้า — ปลายปีล่าสุด</t>
        </is>
      </c>
      <c r="B25" s="6" t="n">
        <v>100</v>
      </c>
      <c r="C25" t="inlineStr">
        <is>
          <t>ล้านบาท</t>
        </is>
      </c>
      <c r="D25" t="inlineStr">
        <is>
          <t>ปลายปีล่าสุด</t>
        </is>
      </c>
      <c r="E25" t="inlineStr">
        <is>
          <t>ตัวอย่างตัวเลขสมมติ</t>
        </is>
      </c>
      <c r="F25" t="inlineStr"/>
    </row>
    <row r="26">
      <c r="A26" t="inlineStr">
        <is>
          <t>เจ้าหนี้การค้า — ปลายปีก่อน</t>
        </is>
      </c>
      <c r="B26" s="6" t="n">
        <v>95</v>
      </c>
      <c r="C26" t="inlineStr">
        <is>
          <t>ล้านบาท</t>
        </is>
      </c>
      <c r="D26" t="inlineStr">
        <is>
          <t>ปลายปีก่อน</t>
        </is>
      </c>
      <c r="E26" t="inlineStr">
        <is>
          <t>ตัวอย่างตัวเลขสมมติ</t>
        </is>
      </c>
      <c r="F26" t="inlineStr"/>
    </row>
    <row r="27">
      <c r="A27" t="inlineStr">
        <is>
          <t>หนี้ที่มีภาระดอกเบี้ย — ปลายปีล่าสุด</t>
        </is>
      </c>
      <c r="B27" s="6" t="n">
        <v>300</v>
      </c>
      <c r="C27" t="inlineStr">
        <is>
          <t>ล้านบาท</t>
        </is>
      </c>
      <c r="D27" t="inlineStr">
        <is>
          <t>ปลายปีล่าสุด</t>
        </is>
      </c>
      <c r="E27" t="inlineStr">
        <is>
          <t>ตัวอย่างตัวเลขสมมติ</t>
        </is>
      </c>
      <c r="F27" t="inlineStr"/>
    </row>
    <row r="28">
      <c r="A28" t="inlineStr">
        <is>
          <t>หนี้ที่มีภาระดอกเบี้ย — ปลายปีก่อน</t>
        </is>
      </c>
      <c r="B28" s="6" t="n">
        <v>290</v>
      </c>
      <c r="C28" t="inlineStr">
        <is>
          <t>ล้านบาท</t>
        </is>
      </c>
      <c r="D28" t="inlineStr">
        <is>
          <t>ปลายปีก่อน</t>
        </is>
      </c>
      <c r="E28" t="inlineStr">
        <is>
          <t>ตัวอย่างตัวเลขสมมติ</t>
        </is>
      </c>
      <c r="F28" t="inlineStr"/>
    </row>
    <row r="29">
      <c r="A29" t="inlineStr">
        <is>
          <t>หนี้สินตามสัญญาเช่า — ปลายปีล่าสุด</t>
        </is>
      </c>
      <c r="B29" s="6" t="n">
        <v>30</v>
      </c>
      <c r="C29" t="inlineStr">
        <is>
          <t>ล้านบาท</t>
        </is>
      </c>
      <c r="D29" t="inlineStr">
        <is>
          <t>ปลายปีล่าสุด</t>
        </is>
      </c>
      <c r="E29" t="inlineStr">
        <is>
          <t>ตัวอย่างตัวเลขสมมติ</t>
        </is>
      </c>
      <c r="F29" t="inlineStr"/>
    </row>
    <row r="30">
      <c r="A30" t="inlineStr">
        <is>
          <t>หนี้สินตามสัญญาเช่า — ปลายปีก่อน</t>
        </is>
      </c>
      <c r="B30" s="6" t="n">
        <v>30</v>
      </c>
      <c r="C30" t="inlineStr">
        <is>
          <t>ล้านบาท</t>
        </is>
      </c>
      <c r="D30" t="inlineStr">
        <is>
          <t>ปลายปีก่อน</t>
        </is>
      </c>
      <c r="E30" t="inlineStr">
        <is>
          <t>ตัวอย่างตัวเลขสมมติ</t>
        </is>
      </c>
      <c r="F30" t="inlineStr"/>
    </row>
    <row r="31">
      <c r="A31" t="inlineStr">
        <is>
          <t>สินทรัพย์ที่ไม่ใช่การดำเนินงาน — ปลายปีล่าสุด</t>
        </is>
      </c>
      <c r="B31" s="6" t="n">
        <v>50</v>
      </c>
      <c r="C31" t="inlineStr">
        <is>
          <t>ล้านบาท</t>
        </is>
      </c>
      <c r="D31" t="inlineStr">
        <is>
          <t>ปลายปีล่าสุด</t>
        </is>
      </c>
      <c r="E31" t="inlineStr">
        <is>
          <t>ตัวอย่างตัวเลขสมมติ</t>
        </is>
      </c>
      <c r="F31" t="inlineStr"/>
    </row>
    <row r="32">
      <c r="A32" t="inlineStr">
        <is>
          <t>สินทรัพย์ที่ไม่ใช่การดำเนินงาน — ปลายปีก่อน</t>
        </is>
      </c>
      <c r="B32" s="6" t="n">
        <v>50</v>
      </c>
      <c r="C32" t="inlineStr">
        <is>
          <t>ล้านบาท</t>
        </is>
      </c>
      <c r="D32" t="inlineStr">
        <is>
          <t>ปลายปีก่อน</t>
        </is>
      </c>
      <c r="E32" t="inlineStr">
        <is>
          <t>ตัวอย่างตัวเลขสมมติ</t>
        </is>
      </c>
      <c r="F32" t="inlineStr"/>
    </row>
    <row r="33">
      <c r="A33" t="inlineStr">
        <is>
          <t>หนี้สินอื่นทั้งหมด (ไม่รวมหนี้และสัญญาเช่า) — ปลายปีล่าสุด</t>
        </is>
      </c>
      <c r="B33" s="6" t="n">
        <v>270</v>
      </c>
      <c r="C33" t="inlineStr">
        <is>
          <t>ล้านบาท</t>
        </is>
      </c>
      <c r="D33" t="inlineStr">
        <is>
          <t>ปลายปีล่าสุด</t>
        </is>
      </c>
      <c r="E33" t="inlineStr">
        <is>
          <t>ตัวอย่างตัวเลขสมมติ</t>
        </is>
      </c>
      <c r="F33" t="inlineStr">
        <is>
          <t>ใช้ตรวจสมการบัญชี</t>
        </is>
      </c>
    </row>
    <row r="34">
      <c r="A34" t="inlineStr">
        <is>
          <t>กระแสเงินสดจากการดำเนินงาน</t>
        </is>
      </c>
      <c r="B34" s="6" t="n">
        <v>120</v>
      </c>
      <c r="C34" t="inlineStr">
        <is>
          <t>ล้านบาท</t>
        </is>
      </c>
      <c r="D34" t="inlineStr">
        <is>
          <t>ปีล่าสุด</t>
        </is>
      </c>
      <c r="E34" t="inlineStr">
        <is>
          <t>ตัวอย่างตัวเลขสมมติ</t>
        </is>
      </c>
      <c r="F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s="4" t="inlineStr">
        <is>
          <t>ความสามารถในการทำกำไร (บทที่ 15)</t>
        </is>
      </c>
    </row>
    <row r="3">
      <c r="A3" t="inlineStr">
        <is>
          <t>อัตรากำไรขั้นต้น</t>
        </is>
      </c>
      <c r="B3" s="8">
        <f>(rev-cogs)/rev</f>
        <v/>
      </c>
    </row>
    <row r="4">
      <c r="A4" t="inlineStr">
        <is>
          <t>อัตรากำไรจากการดำเนินงาน</t>
        </is>
      </c>
      <c r="B4" s="8">
        <f>ebit/rev</f>
        <v/>
      </c>
    </row>
    <row r="5">
      <c r="A5" t="inlineStr">
        <is>
          <t>อัตรากำไรสุทธิ</t>
        </is>
      </c>
      <c r="B5" s="8">
        <f>ni/rev</f>
        <v/>
      </c>
    </row>
    <row r="6">
      <c r="A6" t="inlineStr">
        <is>
          <t>สินทรัพย์เฉลี่ย</t>
        </is>
      </c>
      <c r="B6" s="9">
        <f>(assets1+assets0)/2</f>
        <v/>
      </c>
    </row>
    <row r="7">
      <c r="A7" t="inlineStr">
        <is>
          <t>ส่วนของผู้ถือหุ้นเฉลี่ย</t>
        </is>
      </c>
      <c r="B7" s="9">
        <f>(equity1+equity0)/2</f>
        <v/>
      </c>
    </row>
    <row r="8">
      <c r="A8" t="inlineStr">
        <is>
          <t>ROA</t>
        </is>
      </c>
      <c r="B8" s="8">
        <f>ni/avg_assets</f>
        <v/>
      </c>
    </row>
    <row r="9">
      <c r="A9" t="inlineStr">
        <is>
          <t>ROE</t>
        </is>
      </c>
      <c r="B9" s="8">
        <f>ni/avg_equity</f>
        <v/>
      </c>
    </row>
    <row r="10">
      <c r="A10" t="inlineStr">
        <is>
          <t>Asset Turnover</t>
        </is>
      </c>
      <c r="B10" s="10">
        <f>rev/avg_assets</f>
        <v/>
      </c>
    </row>
    <row r="11">
      <c r="A11" t="inlineStr">
        <is>
          <t>Equity Multiplier</t>
        </is>
      </c>
      <c r="B11" s="10">
        <f>avg_assets/avg_equity</f>
        <v/>
      </c>
    </row>
    <row r="12">
      <c r="A12" t="inlineStr">
        <is>
          <t>DuPont: Net Margin × Turnover × Multiplier</t>
        </is>
      </c>
      <c r="B12" s="8">
        <f>net_margin*turnover*multiplier</f>
        <v/>
      </c>
    </row>
    <row r="13">
      <c r="A13" s="4" t="inlineStr">
        <is>
          <t>ตรวจ: DuPont = ROE</t>
        </is>
      </c>
      <c r="B13" s="11">
        <f>(dupont-roe)*100</f>
        <v/>
      </c>
      <c r="C13" s="12">
        <f>IF(ABS(B13)&lt;=0.0001,"OK","ตรวจสอบ")</f>
        <v/>
      </c>
    </row>
    <row r="14"/>
    <row r="15">
      <c r="A15" s="4" t="inlineStr">
        <is>
          <t>ROIC (บทที่ 16)</t>
        </is>
      </c>
    </row>
    <row r="16">
      <c r="A16" t="inlineStr">
        <is>
          <t>NOPAT = EBIT × (1 − T)</t>
        </is>
      </c>
      <c r="B16" s="9">
        <f>ebit*(1-tax_rate)</f>
        <v/>
      </c>
    </row>
    <row r="17">
      <c r="A17" t="inlineStr">
        <is>
          <t>IC ด้านแหล่งเงินทุน ปลายปีล่าสุด</t>
        </is>
      </c>
      <c r="B17" s="9">
        <f>equity1+debt1+lease1-cash1-nonop1</f>
        <v/>
      </c>
    </row>
    <row r="18">
      <c r="A18" t="inlineStr">
        <is>
          <t>IC ด้านแหล่งเงินทุน ปลายปีก่อน</t>
        </is>
      </c>
      <c r="B18" s="9">
        <f>equity0+debt0+lease0-cash0-nonop0</f>
        <v/>
      </c>
    </row>
    <row r="19">
      <c r="A19" t="inlineStr">
        <is>
          <t>ROIC = NOPAT ÷ IC เฉลี่ย</t>
        </is>
      </c>
      <c r="B19" s="8">
        <f>nopat/((ic_1+ic_0)/2)</f>
        <v/>
      </c>
    </row>
    <row r="20">
      <c r="A20" s="4" t="inlineStr">
        <is>
          <t>ตรวจ: สมการบัญชี: สินทรัพย์ − (ส่วนของผู้ถือหุ้น + หนี้ + สัญญาเช่า + หนี้สินอื่น)</t>
        </is>
      </c>
      <c r="B20" s="11">
        <f>assets1-(equity1+debt1+lease1+liab_other1)</f>
        <v/>
      </c>
      <c r="C20" s="12">
        <f>IF(ABS(B20)&lt;=0.5,"OK","ตรวจสอบ")</f>
        <v/>
      </c>
    </row>
    <row r="21"/>
    <row r="22">
      <c r="A22" s="4" t="inlineStr">
        <is>
          <t>สภาพคล่องและภาระหนี้ (บทที่ 17)</t>
        </is>
      </c>
    </row>
    <row r="23">
      <c r="A23" t="inlineStr">
        <is>
          <t>Current Ratio</t>
        </is>
      </c>
      <c r="B23" s="10">
        <f>ca_1/cl_1</f>
        <v/>
      </c>
    </row>
    <row r="24">
      <c r="A24" t="inlineStr">
        <is>
          <t>Quick Ratio</t>
        </is>
      </c>
      <c r="B24" s="10">
        <f>(cash1+ar_1)/cl_1</f>
        <v/>
      </c>
      <c r="C24" t="inlineStr">
        <is>
          <t>เงินสดและเงินลงทุนระยะสั้น + ลูกหนี้</t>
        </is>
      </c>
    </row>
    <row r="25">
      <c r="A25" t="inlineStr">
        <is>
          <t>D/E</t>
        </is>
      </c>
      <c r="B25" s="10">
        <f>debt1/equity1</f>
        <v/>
      </c>
    </row>
    <row r="26">
      <c r="A26" t="inlineStr">
        <is>
          <t>Net Debt/EBITDA</t>
        </is>
      </c>
      <c r="B26" s="13">
        <f>(debt1-cash1)/(ebit+da)</f>
        <v/>
      </c>
    </row>
    <row r="27">
      <c r="A27" t="inlineStr">
        <is>
          <t>ความสามารถในการจ่ายดอกเบี้ย (EBIT ÷ ดอกเบี้ย)</t>
        </is>
      </c>
      <c r="B27" s="13">
        <f>ebit/int_exp</f>
        <v/>
      </c>
    </row>
    <row r="28"/>
    <row r="29">
      <c r="A29" s="4" t="inlineStr">
        <is>
          <t>วงจรเงินสด (บทที่ 17.4)</t>
        </is>
      </c>
    </row>
    <row r="30">
      <c r="A30" t="inlineStr">
        <is>
          <t>DSO (วัน)</t>
        </is>
      </c>
      <c r="B30" s="14">
        <f>(ar_1+ar_0)/2/rev*365</f>
        <v/>
      </c>
    </row>
    <row r="31">
      <c r="A31" t="inlineStr">
        <is>
          <t>DIO (วัน)</t>
        </is>
      </c>
      <c r="B31" s="14">
        <f>(inv_1+inv_0)/2/cogs*365</f>
        <v/>
      </c>
    </row>
    <row r="32">
      <c r="A32" t="inlineStr">
        <is>
          <t>DPO (วัน)</t>
        </is>
      </c>
      <c r="B32" s="14">
        <f>(ap_1+ap_0)/2/cogs*365</f>
        <v/>
      </c>
    </row>
    <row r="33">
      <c r="A33" t="inlineStr">
        <is>
          <t>CCC = DSO + DIO − DPO</t>
        </is>
      </c>
      <c r="B33" s="14">
        <f>dso+dio-dpo</f>
        <v/>
      </c>
    </row>
    <row r="34"/>
    <row r="35">
      <c r="A35" s="4" t="inlineStr">
        <is>
          <t>คุณภาพกำไรเบื้องต้น (บทที่ 18)</t>
        </is>
      </c>
    </row>
    <row r="36">
      <c r="A36" t="inlineStr">
        <is>
          <t>Accruals Ratio = (กำไรสุทธิ − CFO) ÷ สินทรัพย์เฉลี่ย</t>
        </is>
      </c>
      <c r="B36" s="8">
        <f>(ni-cfo)/avg_assets</f>
        <v/>
      </c>
    </row>
    <row r="37">
      <c r="A37" t="inlineStr">
        <is>
          <t>CFO ÷ กำไรสุทธิ</t>
        </is>
      </c>
      <c r="B37" s="10">
        <f>cfo/ni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