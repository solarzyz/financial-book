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Canvas" sheetId="2" state="visible" r:id="rId2"/>
    <sheet xmlns:r="http://schemas.openxmlformats.org/officeDocument/2006/relationships" name="KPI" sheetId="3" state="visible" r:id="rId3"/>
    <sheet xmlns:r="http://schemas.openxmlformats.org/officeDocument/2006/relationships" name="Review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F4E9A"/>
    </font>
    <font>
      <name val="Calibri"/>
      <b val="1"/>
      <color rgb="000B5D7A"/>
      <sz val="14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ตาราง Thesis Canvas และการติดตาม</t>
        </is>
      </c>
    </row>
    <row r="2">
      <c r="A2" s="2" t="inlineStr">
        <is>
          <t>Thesis Canvas 10 ช่อง ตัวชี้วัดติดตามพร้อมระดับเตือนและระดับล้ม และบันทึกการทบทวน</t>
        </is>
      </c>
    </row>
    <row r="3">
      <c r="A3" s="2" t="inlineStr">
        <is>
          <t>บทที่เกี่ยวข้อง: บทที่ 3, 43–45, 49–50 และ 64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ตัวเลขตั้งต้นในแฟ้มนี้เป็นตัวอย่างตัวเลขสมมติของบริษัทสมมติ ไม่ใช่ข้อมูลของบริษัทจริง แทนด้วยข้อมูลของคุณเอง</t>
        </is>
      </c>
    </row>
    <row r="13">
      <c r="A13" s="2" t="inlineStr"/>
    </row>
    <row r="14">
      <c r="A14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70" customWidth="1" min="3" max="3"/>
    <col width="26" customWidth="1" min="4" max="4"/>
    <col width="30" customWidth="1" min="5" max="5"/>
    <col width="14" customWidth="1" min="6" max="6"/>
  </cols>
  <sheetData>
    <row r="1">
      <c r="A1" s="4" t="inlineStr">
        <is>
          <t>ช่อง</t>
        </is>
      </c>
      <c r="B1" s="4" t="inlineStr">
        <is>
          <t>หัวข้อ</t>
        </is>
      </c>
      <c r="C1" s="4" t="inlineStr">
        <is>
          <t>เนื้อหา (เขียนให้พิสูจน์ได้ว่าผิด)</t>
        </is>
      </c>
      <c r="D1" s="4" t="inlineStr">
        <is>
          <t>ป้าย: ข้อเท็จจริง / การตีความ / ความเห็น</t>
        </is>
      </c>
      <c r="E1" s="4" t="inlineStr">
        <is>
          <t>แหล่งและชั้นข้อมูล</t>
        </is>
      </c>
      <c r="F1" s="4" t="inlineStr">
        <is>
          <t>ทบทวนล่าสุด</t>
        </is>
      </c>
    </row>
    <row r="2" ht="48" customHeight="1">
      <c r="A2" t="n">
        <v>1</v>
      </c>
      <c r="B2" t="inlineStr">
        <is>
          <t>ธุรกิจ (Business Claim)</t>
        </is>
      </c>
      <c r="C2" s="5" t="n"/>
      <c r="D2" s="5" t="n"/>
      <c r="E2" s="5" t="n"/>
      <c r="F2" s="5" t="n"/>
    </row>
    <row r="3" ht="48" customHeight="1">
      <c r="A3" t="n">
        <v>2</v>
      </c>
      <c r="B3" t="inlineStr">
        <is>
          <t>ตัวขับเคลื่อนหลัก (Key Drivers)</t>
        </is>
      </c>
      <c r="C3" s="5" t="n"/>
      <c r="D3" s="5" t="n"/>
      <c r="E3" s="5" t="n"/>
      <c r="F3" s="5" t="n"/>
    </row>
    <row r="4" ht="48" customHeight="1">
      <c r="A4" t="n">
        <v>3</v>
      </c>
      <c r="B4" t="inlineStr">
        <is>
          <t>หลักฐาน (Evidence)</t>
        </is>
      </c>
      <c r="C4" s="5" t="n"/>
      <c r="D4" s="5" t="n"/>
      <c r="E4" s="5" t="n"/>
      <c r="F4" s="5" t="n"/>
    </row>
    <row r="5" ht="48" customHeight="1">
      <c r="A5" t="n">
        <v>4</v>
      </c>
      <c r="B5" t="inlineStr">
        <is>
          <t>สิ่งที่ราคาสะท้อนอยู่ (Priced-in Expectations)</t>
        </is>
      </c>
      <c r="C5" s="5" t="n"/>
      <c r="D5" s="5" t="n"/>
      <c r="E5" s="5" t="n"/>
      <c r="F5" s="5" t="n"/>
    </row>
    <row r="6" ht="48" customHeight="1">
      <c r="A6" t="n">
        <v>5</v>
      </c>
      <c r="B6" t="inlineStr">
        <is>
          <t>มุมมองที่ต่างจากตลาด (Variant Perception)</t>
        </is>
      </c>
      <c r="C6" s="5" t="n"/>
      <c r="D6" s="5" t="n"/>
      <c r="E6" s="5" t="n"/>
      <c r="F6" s="5" t="n"/>
    </row>
    <row r="7" ht="48" customHeight="1">
      <c r="A7" t="n">
        <v>6</v>
      </c>
      <c r="B7" t="inlineStr">
        <is>
          <t>ช่วงมูลค่า (Valuation Range)</t>
        </is>
      </c>
      <c r="C7" s="5" t="n"/>
      <c r="D7" s="5" t="n"/>
      <c r="E7" s="5" t="n"/>
      <c r="F7" s="5" t="n"/>
    </row>
    <row r="8" ht="48" customHeight="1">
      <c r="A8" t="n">
        <v>7</v>
      </c>
      <c r="B8" t="inlineStr">
        <is>
          <t>ความเสี่ยงและเงื่อนไขล้ม Thesis</t>
        </is>
      </c>
      <c r="C8" s="5" t="n"/>
      <c r="D8" s="5" t="n"/>
      <c r="E8" s="5" t="n"/>
      <c r="F8" s="5" t="n"/>
    </row>
    <row r="9" ht="48" customHeight="1">
      <c r="A9" t="n">
        <v>8</v>
      </c>
      <c r="B9" t="inlineStr">
        <is>
          <t>ระยะเวลาและตัวเร่ง</t>
        </is>
      </c>
      <c r="C9" s="5" t="n"/>
      <c r="D9" s="5" t="n"/>
      <c r="E9" s="5" t="n"/>
      <c r="F9" s="5" t="n"/>
    </row>
    <row r="10" ht="48" customHeight="1">
      <c r="A10" t="n">
        <v>9</v>
      </c>
      <c r="B10" t="inlineStr">
        <is>
          <t>แผนสถานะ (Position Plan)</t>
        </is>
      </c>
      <c r="C10" s="5" t="n"/>
      <c r="D10" s="5" t="n"/>
      <c r="E10" s="5" t="n"/>
      <c r="F10" s="5" t="n"/>
    </row>
    <row r="11" ht="48" customHeight="1">
      <c r="A11" t="n">
        <v>10</v>
      </c>
      <c r="B11" t="inlineStr">
        <is>
          <t>ตัวชี้วัดติดตาม (Monitoring KPIs)</t>
        </is>
      </c>
      <c r="C11" s="5" t="n"/>
      <c r="D11" s="5" t="n"/>
      <c r="E11" s="5" t="n"/>
      <c r="F1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>
      <c r="A1" s="4" t="inlineStr">
        <is>
          <t>ตัวชี้วัด</t>
        </is>
      </c>
      <c r="B1" s="4" t="inlineStr">
        <is>
          <t>นิยามและแหล่ง</t>
        </is>
      </c>
      <c r="C1" s="4" t="inlineStr">
        <is>
          <t>ทิศที่ดี (สูง/ต่ำ)</t>
        </is>
      </c>
      <c r="D1" s="4" t="inlineStr">
        <is>
          <t>ระดับเตือน</t>
        </is>
      </c>
      <c r="E1" s="4" t="inlineStr">
        <is>
          <t>ระดับล้ม</t>
        </is>
      </c>
      <c r="F1" s="4" t="inlineStr">
        <is>
          <t>ค่าล่าสุด</t>
        </is>
      </c>
      <c r="G1" s="4" t="inlineStr">
        <is>
          <t>งวด</t>
        </is>
      </c>
      <c r="H1" s="4" t="inlineStr">
        <is>
          <t>สถานะ</t>
        </is>
      </c>
    </row>
    <row r="2">
      <c r="A2" s="6" t="inlineStr">
        <is>
          <t>การเติบโตของรายได้</t>
        </is>
      </c>
      <c r="B2" s="6" t="inlineStr">
        <is>
          <t>งบปี/ไตรมาส ตารางรายได้</t>
        </is>
      </c>
      <c r="C2" s="6" t="inlineStr">
        <is>
          <t>สูง</t>
        </is>
      </c>
      <c r="D2" s="6" t="n">
        <v>0.1</v>
      </c>
      <c r="E2" s="6" t="n">
        <v>0.05</v>
      </c>
      <c r="F2" s="6" t="n">
        <v>0.12</v>
      </c>
      <c r="G2" s="6" t="inlineStr">
        <is>
          <t>Q2/2026</t>
        </is>
      </c>
      <c r="H2">
        <f>IF(C2="สูง",IF(F2&lt;=E2,"ถึงระดับล้ม",IF(F2&lt;=D2,"ถึงระดับเตือน","ห่างจากระดับ")),IF(F2&gt;=E2,"ถึงระดับล้ม",IF(F2&gt;=D2,"ถึงระดับเตือน","ห่างจากระดับ")))</f>
        <v/>
      </c>
    </row>
    <row r="3">
      <c r="A3" s="6" t="inlineStr">
        <is>
          <t>อัตรากำไรจากการดำเนินงาน</t>
        </is>
      </c>
      <c r="B3" s="6" t="inlineStr">
        <is>
          <t>งบกำไรขาดทุน</t>
        </is>
      </c>
      <c r="C3" s="6" t="inlineStr">
        <is>
          <t>สูง</t>
        </is>
      </c>
      <c r="D3" s="6" t="n">
        <v>0.15</v>
      </c>
      <c r="E3" s="6" t="n">
        <v>0.12</v>
      </c>
      <c r="F3" s="6" t="n">
        <v>0.14</v>
      </c>
      <c r="G3" s="6" t="inlineStr">
        <is>
          <t>Q2/2026</t>
        </is>
      </c>
      <c r="H3">
        <f>IF(C3="สูง",IF(F3&lt;=E3,"ถึงระดับล้ม",IF(F3&lt;=D3,"ถึงระดับเตือน","ห่างจากระดับ")),IF(F3&gt;=E3,"ถึงระดับล้ม",IF(F3&gt;=D3,"ถึงระดับเตือน","ห่างจากระดับ")))</f>
        <v/>
      </c>
    </row>
    <row r="4">
      <c r="A4" s="6" t="inlineStr">
        <is>
          <t>Net Debt/EBITDA</t>
        </is>
      </c>
      <c r="B4" s="6" t="inlineStr">
        <is>
          <t>งบแสดงฐานะการเงิน</t>
        </is>
      </c>
      <c r="C4" s="6" t="inlineStr">
        <is>
          <t>ต่ำ</t>
        </is>
      </c>
      <c r="D4" s="6" t="n">
        <v>2.5</v>
      </c>
      <c r="E4" s="6" t="n">
        <v>3.5</v>
      </c>
      <c r="F4" s="6" t="n">
        <v>1.8</v>
      </c>
      <c r="G4" s="6" t="inlineStr">
        <is>
          <t>Q2/2026</t>
        </is>
      </c>
      <c r="H4">
        <f>IF(C4="สูง",IF(F4&lt;=E4,"ถึงระดับล้ม",IF(F4&lt;=D4,"ถึงระดับเตือน","ห่างจากระดับ")),IF(F4&gt;=E4,"ถึงระดับล้ม",IF(F4&gt;=D4,"ถึงระดับเตือน","ห่างจากระดับ")))</f>
        <v/>
      </c>
    </row>
    <row r="6">
      <c r="A6" t="inlineStr">
        <is>
          <t>แถวตัวอย่างเป็นตัวเลขสมมติ ระดับเตือนและระดับล้มต้องเขียนก่อนเห็นข้อมูลใหม่ (บทที่ 44)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0" customWidth="1" min="4" max="4"/>
    <col width="16" customWidth="1" min="5" max="5"/>
    <col width="12" customWidth="1" min="6" max="6"/>
    <col width="14" customWidth="1" min="7" max="7"/>
  </cols>
  <sheetData>
    <row r="1">
      <c r="A1" s="4" t="inlineStr">
        <is>
          <t>วันที่</t>
        </is>
      </c>
      <c r="B1" s="4" t="inlineStr">
        <is>
          <t>เหตุที่ทบทวน (งบออก / ราคาถึงโซน / ข่าว)</t>
        </is>
      </c>
      <c r="C1" s="4" t="inlineStr">
        <is>
          <t>สิ่งที่เปลี่ยนในช่องใด</t>
        </is>
      </c>
      <c r="D1" s="4" t="inlineStr">
        <is>
          <t>การตัดสินใจ</t>
        </is>
      </c>
      <c r="E1" s="4" t="inlineStr">
        <is>
          <t>ความน่าจะเป็นที่เขียนไว้ก่อน</t>
        </is>
      </c>
      <c r="F1" s="4" t="inlineStr">
        <is>
          <t>ผลจริง (1/0)</t>
        </is>
      </c>
      <c r="G1" s="4" t="inlineStr">
        <is>
          <t>Brier รายการ</t>
        </is>
      </c>
    </row>
    <row r="2">
      <c r="A2" s="5" t="n"/>
      <c r="B2" s="5" t="n"/>
      <c r="C2" s="5" t="n"/>
      <c r="D2" s="5" t="n"/>
      <c r="E2" s="5" t="n"/>
      <c r="F2" s="5" t="n"/>
      <c r="G2" s="7">
        <f>IF(OR(E2="",F2=""),"",(E2-F2)^2)</f>
        <v/>
      </c>
    </row>
    <row r="3">
      <c r="A3" s="5" t="n"/>
      <c r="B3" s="5" t="n"/>
      <c r="C3" s="5" t="n"/>
      <c r="D3" s="5" t="n"/>
      <c r="E3" s="5" t="n"/>
      <c r="F3" s="5" t="n"/>
      <c r="G3" s="7">
        <f>IF(OR(E3="",F3=""),"",(E3-F3)^2)</f>
        <v/>
      </c>
    </row>
    <row r="4">
      <c r="A4" s="5" t="n"/>
      <c r="B4" s="5" t="n"/>
      <c r="C4" s="5" t="n"/>
      <c r="D4" s="5" t="n"/>
      <c r="E4" s="5" t="n"/>
      <c r="F4" s="5" t="n"/>
      <c r="G4" s="7">
        <f>IF(OR(E4="",F4=""),"",(E4-F4)^2)</f>
        <v/>
      </c>
    </row>
    <row r="5">
      <c r="A5" s="5" t="n"/>
      <c r="B5" s="5" t="n"/>
      <c r="C5" s="5" t="n"/>
      <c r="D5" s="5" t="n"/>
      <c r="E5" s="5" t="n"/>
      <c r="F5" s="5" t="n"/>
      <c r="G5" s="7">
        <f>IF(OR(E5="",F5=""),"",(E5-F5)^2)</f>
        <v/>
      </c>
    </row>
    <row r="6">
      <c r="A6" s="5" t="n"/>
      <c r="B6" s="5" t="n"/>
      <c r="C6" s="5" t="n"/>
      <c r="D6" s="5" t="n"/>
      <c r="E6" s="5" t="n"/>
      <c r="F6" s="5" t="n"/>
      <c r="G6" s="7">
        <f>IF(OR(E6="",F6=""),"",(E6-F6)^2)</f>
        <v/>
      </c>
    </row>
    <row r="7">
      <c r="A7" s="5" t="n"/>
      <c r="B7" s="5" t="n"/>
      <c r="C7" s="5" t="n"/>
      <c r="D7" s="5" t="n"/>
      <c r="E7" s="5" t="n"/>
      <c r="F7" s="5" t="n"/>
      <c r="G7" s="7">
        <f>IF(OR(E7="",F7=""),"",(E7-F7)^2)</f>
        <v/>
      </c>
    </row>
    <row r="8">
      <c r="A8" s="5" t="n"/>
      <c r="B8" s="5" t="n"/>
      <c r="C8" s="5" t="n"/>
      <c r="D8" s="5" t="n"/>
      <c r="E8" s="5" t="n"/>
      <c r="F8" s="5" t="n"/>
      <c r="G8" s="7">
        <f>IF(OR(E8="",F8=""),"",(E8-F8)^2)</f>
        <v/>
      </c>
    </row>
    <row r="9">
      <c r="A9" s="5" t="n"/>
      <c r="B9" s="5" t="n"/>
      <c r="C9" s="5" t="n"/>
      <c r="D9" s="5" t="n"/>
      <c r="E9" s="5" t="n"/>
      <c r="F9" s="5" t="n"/>
      <c r="G9" s="7">
        <f>IF(OR(E9="",F9=""),"",(E9-F9)^2)</f>
        <v/>
      </c>
    </row>
    <row r="10">
      <c r="A10" s="5" t="n"/>
      <c r="B10" s="5" t="n"/>
      <c r="C10" s="5" t="n"/>
      <c r="D10" s="5" t="n"/>
      <c r="E10" s="5" t="n"/>
      <c r="F10" s="5" t="n"/>
      <c r="G10" s="7">
        <f>IF(OR(E10="",F10=""),"",(E10-F10)^2)</f>
        <v/>
      </c>
    </row>
    <row r="11">
      <c r="A11" s="5" t="n"/>
      <c r="B11" s="5" t="n"/>
      <c r="C11" s="5" t="n"/>
      <c r="D11" s="5" t="n"/>
      <c r="E11" s="5" t="n"/>
      <c r="F11" s="5" t="n"/>
      <c r="G11" s="7">
        <f>IF(OR(E11="",F11=""),"",(E11-F11)^2)</f>
        <v/>
      </c>
    </row>
    <row r="13">
      <c r="A13" t="inlineStr">
        <is>
          <t>Brier Score เฉลี่ย</t>
        </is>
      </c>
      <c r="G13" s="7">
        <f>IFERROR(AVERAGE(G2:G11),"")</f>
        <v/>
      </c>
    </row>
    <row r="14">
      <c r="A14" t="inlineStr">
        <is>
          <t>บทที่ 64.3: Brier Score = ค่าเฉลี่ยของ (ความน่าจะเป็น − ผลจริง)² ยิ่งต่ำยิ่งดี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