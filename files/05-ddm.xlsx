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" sheetId="3" state="visible" r:id="rId3"/>
  </sheets>
  <definedNames>
    <definedName name="n">'Inputs'!$B$4</definedName>
    <definedName name="ke">'Inputs'!$B$6</definedName>
    <definedName name="price">'Inputs'!$B$7</definedName>
    <definedName name="roe">'Inputs'!$B$9</definedName>
    <definedName name="payout">'Calc'!$B$8</definedName>
    <definedName name="tvn">'Calc'!$B$24</definedName>
    <definedName name="d_0">'Inputs'!$B$2</definedName>
    <definedName name="g_1">'Inputs'!$B$3</definedName>
    <definedName name="g_2">'Inputs'!$B$5</definedName>
    <definedName name="eps_1">'Inputs'!$B$8</definedName>
    <definedName name="dps_1">'Calc'!$B$3</definedName>
    <definedName name="pv_1">'Calc'!$B$23</definedName>
    <definedName name="pv_2">'Calc'!$B$25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</font>
    <font>
      <name val="Calibri"/>
      <b val="1"/>
      <color rgb="000B5D7A"/>
      <sz val="14"/>
    </font>
  </fonts>
  <fills count="5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  <fill>
      <patternFill patternType="solid">
        <fgColor rgb="00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4" fontId="2" fillId="3" borderId="0" pivotButton="0" quotePrefix="0" xfId="0"/>
    <xf numFmtId="164" fontId="2" fillId="3" borderId="0" pivotButton="0" quotePrefix="0" xfId="0"/>
    <xf numFmtId="0" fontId="2" fillId="3" borderId="0" pivotButton="0" quotePrefix="0" xfId="0"/>
    <xf numFmtId="10" fontId="2" fillId="3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DDM: Gordon และแบบสองช่วง</t>
        </is>
      </c>
    </row>
    <row r="2">
      <c r="A2" s="2" t="inlineStr">
        <is>
          <t>มูลค่าจากเงินปันผล การเติบโตที่ราคาสะท้อน และ DDM ที่สอดคล้องกับ ROE</t>
        </is>
      </c>
    </row>
    <row r="3">
      <c r="A3" s="2" t="inlineStr">
        <is>
          <t>บทที่เกี่ยวข้อง: บทที่ 30 (ตัวอย่างสองช่วงในหัวข้อ 30.2)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ตัวเลขตั้งต้นในแฟ้มนี้เป็นตัวอย่างตัวเลขสมมติของบริษัทสมมติ ไม่ใช่ข้อมูลของบริษัทจริง แทนด้วยข้อมูลของคุณเอง</t>
        </is>
      </c>
    </row>
    <row r="13">
      <c r="A13" s="2" t="inlineStr"/>
    </row>
    <row r="14">
      <c r="A14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  <row r="15">
      <c r="A15" s="2" t="inlineStr"/>
    </row>
    <row r="16">
      <c r="A16" s="3" t="inlineStr">
        <is>
          <t>สถานะเซลล์ตรวจทั้งหมด:</t>
        </is>
      </c>
    </row>
    <row r="17">
      <c r="A17" s="4">
        <f>IF(AND('Calc'!C27="OK"),"ทุกเซลล์ตรวจผ่าน (OK)","มีเซลล์ตรวจที่ต้องตรวจสอบ")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</t>
        </is>
      </c>
      <c r="D1" s="5" t="inlineStr">
        <is>
          <t>งวด</t>
        </is>
      </c>
      <c r="E1" s="5" t="inlineStr">
        <is>
          <t>แหล่ง</t>
        </is>
      </c>
      <c r="F1" s="5" t="inlineStr">
        <is>
          <t>หน้า/แถว/หมายเหตุ</t>
        </is>
      </c>
    </row>
    <row r="2">
      <c r="A2" t="inlineStr">
        <is>
          <t>เงินปันผลต่อหุ้นปีล่าสุด</t>
        </is>
      </c>
      <c r="B2" s="6" t="n">
        <v>2</v>
      </c>
      <c r="C2" t="inlineStr">
        <is>
          <t>บาทต่อหุ้น</t>
        </is>
      </c>
      <c r="D2" t="inlineStr">
        <is>
          <t>ปีล่าสุด</t>
        </is>
      </c>
      <c r="E2" t="inlineStr">
        <is>
          <t>ตัวอย่างตัวเลขสมมติ</t>
        </is>
      </c>
      <c r="F2" t="inlineStr">
        <is>
          <t>บทที่ 30.2</t>
        </is>
      </c>
    </row>
    <row r="3">
      <c r="A3" t="inlineStr">
        <is>
          <t>การเติบโตช่วงแรก</t>
        </is>
      </c>
      <c r="B3" s="7" t="n">
        <v>0.1</v>
      </c>
      <c r="C3" t="inlineStr">
        <is>
          <t>ต่อปี</t>
        </is>
      </c>
      <c r="D3" t="inlineStr"/>
      <c r="E3" t="inlineStr">
        <is>
          <t>ตัวอย่างตัวเลขสมมติ</t>
        </is>
      </c>
      <c r="F3" t="inlineStr"/>
    </row>
    <row r="4">
      <c r="A4" t="inlineStr">
        <is>
          <t>จำนวนปีช่วงแรก (1–10)</t>
        </is>
      </c>
      <c r="B4" s="8" t="n">
        <v>5</v>
      </c>
      <c r="C4" t="inlineStr">
        <is>
          <t>ปี</t>
        </is>
      </c>
      <c r="D4" t="inlineStr"/>
      <c r="E4" t="inlineStr">
        <is>
          <t>ตัวอย่างตัวเลขสมมติ</t>
        </is>
      </c>
      <c r="F4" t="inlineStr"/>
    </row>
    <row r="5">
      <c r="A5" t="inlineStr">
        <is>
          <t>การเติบโตระยะยาว</t>
        </is>
      </c>
      <c r="B5" s="7" t="n">
        <v>0.04</v>
      </c>
      <c r="C5" t="inlineStr">
        <is>
          <t>ต่อปี</t>
        </is>
      </c>
      <c r="D5" t="inlineStr"/>
      <c r="E5" t="inlineStr">
        <is>
          <t>ตัวอย่างตัวเลขสมมติ</t>
        </is>
      </c>
      <c r="F5" t="inlineStr"/>
    </row>
    <row r="6">
      <c r="A6" t="inlineStr">
        <is>
          <t>ต้นทุนส่วนของผู้ถือหุ้น</t>
        </is>
      </c>
      <c r="B6" s="9" t="n">
        <v>0.09</v>
      </c>
      <c r="C6" t="inlineStr">
        <is>
          <t>ต่อปี</t>
        </is>
      </c>
      <c r="D6" t="inlineStr"/>
      <c r="E6" t="inlineStr">
        <is>
          <t>ตัวอย่างตัวเลขสมมติ</t>
        </is>
      </c>
      <c r="F6" t="inlineStr">
        <is>
          <t>แฟ้ม 03-wacc</t>
        </is>
      </c>
    </row>
    <row r="7">
      <c r="A7" t="inlineStr">
        <is>
          <t>ราคาปัจจุบัน</t>
        </is>
      </c>
      <c r="B7" s="6" t="n">
        <v>50</v>
      </c>
      <c r="C7" t="inlineStr">
        <is>
          <t>บาทต่อหุ้น</t>
        </is>
      </c>
      <c r="D7" t="inlineStr"/>
      <c r="E7" t="inlineStr">
        <is>
          <t>ตัวอย่างตัวเลขสมมติ</t>
        </is>
      </c>
      <c r="F7" t="inlineStr"/>
    </row>
    <row r="8">
      <c r="A8" t="inlineStr">
        <is>
          <t>กำไรต่อหุ้นปีหน้า (สำหรับ DDM ตาม ROE)</t>
        </is>
      </c>
      <c r="B8" s="6" t="n">
        <v>4</v>
      </c>
      <c r="C8" t="inlineStr">
        <is>
          <t>บาทต่อหุ้น</t>
        </is>
      </c>
      <c r="D8" t="inlineStr"/>
      <c r="E8" t="inlineStr">
        <is>
          <t>ตัวอย่างตัวเลขสมมติ</t>
        </is>
      </c>
      <c r="F8" t="inlineStr"/>
    </row>
    <row r="9">
      <c r="A9" t="inlineStr">
        <is>
          <t>ROE ระยะยาว</t>
        </is>
      </c>
      <c r="B9" s="7" t="n">
        <v>0.12</v>
      </c>
      <c r="C9" t="inlineStr">
        <is>
          <t>สัดส่วน</t>
        </is>
      </c>
      <c r="D9" t="inlineStr"/>
      <c r="E9" t="inlineStr">
        <is>
          <t>ตัวอย่างตัวเลขสมมติ</t>
        </is>
      </c>
      <c r="F9" t="inlineStr">
        <is>
          <t>บทที่ 30.1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หน่วย/หมายเหตุ</t>
        </is>
      </c>
    </row>
    <row r="2">
      <c r="A2" s="4" t="inlineStr">
        <is>
          <t>Gordon Growth Model</t>
        </is>
      </c>
    </row>
    <row r="3">
      <c r="A3" t="inlineStr">
        <is>
          <t>DPS1 = DPS0 × (1 + g2)</t>
        </is>
      </c>
      <c r="B3" s="10">
        <f>d_0*(1+g_2)</f>
        <v/>
      </c>
    </row>
    <row r="4">
      <c r="A4" t="inlineStr">
        <is>
          <t>มูลค่า = DPS1 ÷ (ke − g2)</t>
        </is>
      </c>
      <c r="B4" s="10">
        <f>dps_1/(ke-g_2)</f>
        <v/>
      </c>
    </row>
    <row r="5">
      <c r="A5" t="inlineStr">
        <is>
          <t>การเติบโตที่ราคาสะท้อน = ke − DPS1 ÷ P</t>
        </is>
      </c>
      <c r="B5" s="11">
        <f>ke-dps_1/price</f>
        <v/>
      </c>
    </row>
    <row r="6"/>
    <row r="7">
      <c r="A7" s="4" t="inlineStr">
        <is>
          <t>DDM ตาม ROE: payout = 1 − g ÷ ROE</t>
        </is>
      </c>
    </row>
    <row r="8">
      <c r="A8" t="inlineStr">
        <is>
          <t>payout ที่สอดคล้อง</t>
        </is>
      </c>
      <c r="B8" s="12">
        <f>1-g_2/roe</f>
        <v/>
      </c>
    </row>
    <row r="9">
      <c r="A9" t="inlineStr">
        <is>
          <t>มูลค่า = EPS1 × payout ÷ (ke − g2)</t>
        </is>
      </c>
      <c r="B9" s="10">
        <f>eps_1*payout/(ke-g_2)</f>
        <v/>
      </c>
    </row>
    <row r="10"/>
    <row r="11">
      <c r="A11" s="4" t="inlineStr">
        <is>
          <t>DDM สองช่วง (ปีที่ 1–10 ใช้เฉพาะปีที่ ≤ n)</t>
        </is>
      </c>
    </row>
    <row r="12">
      <c r="A12" s="4" t="inlineStr">
        <is>
          <t>ปี</t>
        </is>
      </c>
      <c r="B12" s="4" t="inlineStr">
        <is>
          <t>DPS</t>
        </is>
      </c>
      <c r="C12" s="4" t="inlineStr">
        <is>
          <t>มูลค่าปัจจุบัน (นับเมื่อปี ≤ n)</t>
        </is>
      </c>
    </row>
    <row r="13">
      <c r="A13" t="n">
        <v>1</v>
      </c>
      <c r="B13" s="10">
        <f>d_0*(1+g_1)^A13</f>
        <v/>
      </c>
      <c r="C13" s="10">
        <f>IF(A13&lt;=n,B13/(1+ke)^A13,0)</f>
        <v/>
      </c>
    </row>
    <row r="14">
      <c r="A14" t="n">
        <v>2</v>
      </c>
      <c r="B14" s="10">
        <f>d_0*(1+g_1)^A14</f>
        <v/>
      </c>
      <c r="C14" s="10">
        <f>IF(A14&lt;=n,B14/(1+ke)^A14,0)</f>
        <v/>
      </c>
    </row>
    <row r="15">
      <c r="A15" t="n">
        <v>3</v>
      </c>
      <c r="B15" s="10">
        <f>d_0*(1+g_1)^A15</f>
        <v/>
      </c>
      <c r="C15" s="10">
        <f>IF(A15&lt;=n,B15/(1+ke)^A15,0)</f>
        <v/>
      </c>
    </row>
    <row r="16">
      <c r="A16" t="n">
        <v>4</v>
      </c>
      <c r="B16" s="10">
        <f>d_0*(1+g_1)^A16</f>
        <v/>
      </c>
      <c r="C16" s="10">
        <f>IF(A16&lt;=n,B16/(1+ke)^A16,0)</f>
        <v/>
      </c>
    </row>
    <row r="17">
      <c r="A17" t="n">
        <v>5</v>
      </c>
      <c r="B17" s="10">
        <f>d_0*(1+g_1)^A17</f>
        <v/>
      </c>
      <c r="C17" s="10">
        <f>IF(A17&lt;=n,B17/(1+ke)^A17,0)</f>
        <v/>
      </c>
    </row>
    <row r="18">
      <c r="A18" t="n">
        <v>6</v>
      </c>
      <c r="B18" s="10">
        <f>d_0*(1+g_1)^A18</f>
        <v/>
      </c>
      <c r="C18" s="10">
        <f>IF(A18&lt;=n,B18/(1+ke)^A18,0)</f>
        <v/>
      </c>
    </row>
    <row r="19">
      <c r="A19" t="n">
        <v>7</v>
      </c>
      <c r="B19" s="10">
        <f>d_0*(1+g_1)^A19</f>
        <v/>
      </c>
      <c r="C19" s="10">
        <f>IF(A19&lt;=n,B19/(1+ke)^A19,0)</f>
        <v/>
      </c>
    </row>
    <row r="20">
      <c r="A20" t="n">
        <v>8</v>
      </c>
      <c r="B20" s="10">
        <f>d_0*(1+g_1)^A20</f>
        <v/>
      </c>
      <c r="C20" s="10">
        <f>IF(A20&lt;=n,B20/(1+ke)^A20,0)</f>
        <v/>
      </c>
    </row>
    <row r="21">
      <c r="A21" t="n">
        <v>9</v>
      </c>
      <c r="B21" s="10">
        <f>d_0*(1+g_1)^A21</f>
        <v/>
      </c>
      <c r="C21" s="10">
        <f>IF(A21&lt;=n,B21/(1+ke)^A21,0)</f>
        <v/>
      </c>
    </row>
    <row r="22">
      <c r="A22" t="n">
        <v>10</v>
      </c>
      <c r="B22" s="10">
        <f>d_0*(1+g_1)^A22</f>
        <v/>
      </c>
      <c r="C22" s="10">
        <f>IF(A22&lt;=n,B22/(1+ke)^A22,0)</f>
        <v/>
      </c>
    </row>
    <row r="23">
      <c r="A23" t="inlineStr">
        <is>
          <t>มูลค่าปัจจุบันช่วงแรก</t>
        </is>
      </c>
      <c r="B23" s="10">
        <f>SUM(C13:C22)</f>
        <v/>
      </c>
    </row>
    <row r="24">
      <c r="A24" t="inlineStr">
        <is>
          <t>มูลค่าปลายงวด ณ ปี n = DPSn × (1 + g2) ÷ (ke − g2)</t>
        </is>
      </c>
      <c r="B24" s="10">
        <f>d_0*(1+g_1)^n*(1+g_2)/(ke-g_2)</f>
        <v/>
      </c>
    </row>
    <row r="25">
      <c r="A25" t="inlineStr">
        <is>
          <t>มูลค่าปัจจุบันของมูลค่าปลายงวด</t>
        </is>
      </c>
      <c r="B25" s="10">
        <f>tvn/(1+ke)^n</f>
        <v/>
      </c>
    </row>
    <row r="26">
      <c r="A26" t="inlineStr">
        <is>
          <t>มูลค่าสองช่วง</t>
        </is>
      </c>
      <c r="B26" s="10">
        <f>pv_1+pv_2</f>
        <v/>
      </c>
    </row>
    <row r="27">
      <c r="A27" s="4" t="inlineStr">
        <is>
          <t>ตรวจ: n อยู่ระหว่าง 1 ถึง 10</t>
        </is>
      </c>
      <c r="B27" s="13">
        <f>IF(AND(n&gt;=1,n&lt;=10),0,1)</f>
        <v/>
      </c>
      <c r="C27" s="14">
        <f>IF(ABS(B27)&lt;=0,"OK","ตรวจสอบ")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