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</sheets>
  <definedNames>
    <definedName name="port">'Inputs'!$B$2</definedName>
    <definedName name="risk">'Inputs'!$B$3</definedName>
    <definedName name="buy">'Inputs'!$B$4</definedName>
    <definedName name="review">'Inputs'!$B$5</definedName>
    <definedName name="cap">'Inputs'!$B$6</definedName>
    <definedName name="lot">'Inputs'!$B$7</definedName>
    <definedName name="dd">'Inputs'!$B$8</definedName>
    <definedName name="loss_amt">'Calc'!$B$2</definedName>
    <definedName name="dist">'Calc'!$B$3</definedName>
    <definedName name="sh_risk">'Calc'!$B$4</definedName>
    <definedName name="sh_cap">'Calc'!$B$5</definedName>
    <definedName name="sh">'Calc'!$B$6</definedName>
    <definedName name="pos">'Calc'!$B$7</definedName>
    <definedName name="loss_real">'Calc'!$B$9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2" fillId="3" borderId="0" pivotButton="0" quotePrefix="0" xfId="0"/>
    <xf numFmtId="4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ตัวคำนวณขนาดสถานะ</t>
        </is>
      </c>
    </row>
    <row r="2">
      <c r="A2" s="2" t="inlineStr">
        <is>
          <t>จำนวนหุ้นจากความเสียหายที่ยอมรับ เพดานต่อสถานะ และกำไรที่ต้องใช้ฟื้นจาก Drawdown</t>
        </is>
      </c>
    </row>
    <row r="3">
      <c r="A3" s="2" t="inlineStr">
        <is>
          <t>บทที่เกี่ยวข้อง: บทที่ 46–47 (ตัวอย่างในหัวข้อ 47.3)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5">
      <c r="A15" s="2" t="inlineStr"/>
    </row>
    <row r="16">
      <c r="A16" s="3" t="inlineStr">
        <is>
          <t>สถานะเซลล์ตรวจทั้งหมด:</t>
        </is>
      </c>
    </row>
    <row r="17">
      <c r="A17" s="4">
        <f>IF(AND('Calc'!C10="OK"),"ทุกเซลล์ตรวจผ่าน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มูลค่าพอร์ต</t>
        </is>
      </c>
      <c r="B2" s="6" t="n">
        <v>2000000</v>
      </c>
      <c r="C2" t="inlineStr">
        <is>
          <t>บาท</t>
        </is>
      </c>
      <c r="D2" t="inlineStr"/>
      <c r="E2" t="inlineStr">
        <is>
          <t>ตัวอย่างตัวเลขสมมติ</t>
        </is>
      </c>
      <c r="F2" t="inlineStr">
        <is>
          <t>บทที่ 47.3</t>
        </is>
      </c>
    </row>
    <row r="3">
      <c r="A3" t="inlineStr">
        <is>
          <t>ความเสียหายที่ยอมรับต่อสถานะ</t>
        </is>
      </c>
      <c r="B3" s="7" t="n">
        <v>0.01</v>
      </c>
      <c r="C3" t="inlineStr">
        <is>
          <t>สัดส่วนของพอร์ต</t>
        </is>
      </c>
      <c r="D3" t="inlineStr"/>
      <c r="E3" t="inlineStr">
        <is>
          <t>ตัวอย่างตัวเลขสมมติ</t>
        </is>
      </c>
      <c r="F3" t="inlineStr">
        <is>
          <t>บทที่ 47.3</t>
        </is>
      </c>
    </row>
    <row r="4">
      <c r="A4" t="inlineStr">
        <is>
          <t>ราคาซื้อ</t>
        </is>
      </c>
      <c r="B4" s="8" t="n">
        <v>100</v>
      </c>
      <c r="C4" t="inlineStr">
        <is>
          <t>บาทต่อหุ้น</t>
        </is>
      </c>
      <c r="D4" t="inlineStr"/>
      <c r="E4" t="inlineStr">
        <is>
          <t>ตัวอย่างตัวเลขสมมติ</t>
        </is>
      </c>
      <c r="F4" t="inlineStr"/>
    </row>
    <row r="5">
      <c r="A5" t="inlineStr">
        <is>
          <t>ระดับทบทวน (ช่อง 9)</t>
        </is>
      </c>
      <c r="B5" s="8" t="n">
        <v>90</v>
      </c>
      <c r="C5" t="inlineStr">
        <is>
          <t>บาทต่อหุ้น</t>
        </is>
      </c>
      <c r="D5" t="inlineStr"/>
      <c r="E5" t="inlineStr">
        <is>
          <t>ตัวอย่างตัวเลขสมมติ</t>
        </is>
      </c>
      <c r="F5" t="inlineStr">
        <is>
          <t>บทที่ 42</t>
        </is>
      </c>
    </row>
    <row r="6">
      <c r="A6" t="inlineStr">
        <is>
          <t>เพดานต่อสถานะ</t>
        </is>
      </c>
      <c r="B6" s="9" t="n">
        <v>0.1</v>
      </c>
      <c r="C6" t="inlineStr">
        <is>
          <t>สัดส่วนของพอร์ต</t>
        </is>
      </c>
      <c r="D6" t="inlineStr"/>
      <c r="E6" t="inlineStr">
        <is>
          <t>สมมติฐานของคุณ</t>
        </is>
      </c>
      <c r="F6" t="inlineStr">
        <is>
          <t>บทที่ 47.4</t>
        </is>
      </c>
    </row>
    <row r="7">
      <c r="A7" t="inlineStr">
        <is>
          <t>หน่วยซื้อขาย</t>
        </is>
      </c>
      <c r="B7" s="6" t="n">
        <v>100</v>
      </c>
      <c r="C7" t="inlineStr">
        <is>
          <t>หุ้น</t>
        </is>
      </c>
      <c r="D7" t="inlineStr"/>
      <c r="E7" t="inlineStr">
        <is>
          <t>SET: 100 หุ้นต่อหน่วย</t>
        </is>
      </c>
      <c r="F7" t="inlineStr">
        <is>
          <t>ปรับตามตลาด</t>
        </is>
      </c>
    </row>
    <row r="8">
      <c r="A8" t="inlineStr">
        <is>
          <t>Drawdown ที่ใช้ทดสอบ</t>
        </is>
      </c>
      <c r="B8" s="9" t="n">
        <v>0.4</v>
      </c>
      <c r="C8" t="inlineStr">
        <is>
          <t>สัดส่วน</t>
        </is>
      </c>
      <c r="D8" t="inlineStr"/>
      <c r="E8" t="inlineStr">
        <is>
          <t>ตัวอย่างตัวเลขสมมติ</t>
        </is>
      </c>
      <c r="F8" t="inlineStr">
        <is>
          <t>บทที่ 46.3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t="inlineStr">
        <is>
          <t>เงินที่ยอมเสีย = พอร์ต × ความเสียหายที่ยอมรับ</t>
        </is>
      </c>
      <c r="B2" s="10">
        <f>port*risk</f>
        <v/>
      </c>
    </row>
    <row r="3">
      <c r="A3" t="inlineStr">
        <is>
          <t>ระยะต่อหุ้น = ราคาซื้อ − ระดับทบทวน</t>
        </is>
      </c>
      <c r="B3" s="11">
        <f>buy-review</f>
        <v/>
      </c>
    </row>
    <row r="4">
      <c r="A4" t="inlineStr">
        <is>
          <t>จำนวนหุ้นจากความเสียหาย</t>
        </is>
      </c>
      <c r="B4" s="10">
        <f>loss_amt/dist</f>
        <v/>
      </c>
    </row>
    <row r="5">
      <c r="A5" t="inlineStr">
        <is>
          <t>จำนวนหุ้นสูงสุดตามเพดาน</t>
        </is>
      </c>
      <c r="B5" s="10">
        <f>port*cap/buy</f>
        <v/>
      </c>
    </row>
    <row r="6">
      <c r="A6" t="inlineStr">
        <is>
          <t>จำนวนหุ้นที่ใช้ (ค่าน้อยกว่า ปัดลงตามหน่วย)</t>
        </is>
      </c>
      <c r="B6" s="10">
        <f>FLOOR(MIN(sh_risk,sh_cap),lot)</f>
        <v/>
      </c>
    </row>
    <row r="7">
      <c r="A7" t="inlineStr">
        <is>
          <t>มูลค่าสถานะ</t>
        </is>
      </c>
      <c r="B7" s="10">
        <f>sh*buy</f>
        <v/>
      </c>
    </row>
    <row r="8">
      <c r="A8" t="inlineStr">
        <is>
          <t>สัดส่วนของพอร์ต</t>
        </is>
      </c>
      <c r="B8" s="12">
        <f>pos/port</f>
        <v/>
      </c>
    </row>
    <row r="9">
      <c r="A9" t="inlineStr">
        <is>
          <t>ความเสียหายถ้าถึงระดับทบทวน</t>
        </is>
      </c>
      <c r="B9" s="10">
        <f>sh*dist</f>
        <v/>
      </c>
    </row>
    <row r="10">
      <c r="A10" s="4" t="inlineStr">
        <is>
          <t>ตรวจ: ความเสียหายจริงไม่เกินที่ยอมรับ</t>
        </is>
      </c>
      <c r="B10" s="13">
        <f>MAX(0,loss_real-loss_amt)</f>
        <v/>
      </c>
      <c r="C10" s="14">
        <f>IF(ABS(B10)&lt;=0.5,"OK","ตรวจสอบ")</f>
        <v/>
      </c>
    </row>
    <row r="12">
      <c r="A12" t="inlineStr">
        <is>
          <t>กำไรที่ต้องใช้ฟื้นจาก Drawdown = 1 ÷ (1 − d) − 1</t>
        </is>
      </c>
      <c r="B12" s="12">
        <f>1/(1-dd)-1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