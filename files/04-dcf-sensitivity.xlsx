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Sensitivity" sheetId="4" state="visible" r:id="rId4"/>
  </sheets>
  <definedNames>
    <definedName name="margin">'Inputs'!$B$8</definedName>
    <definedName name="tax">'Inputs'!$B$9</definedName>
    <definedName name="ronic">'Inputs'!$B$10</definedName>
    <definedName name="ronic_t">'Inputs'!$B$11</definedName>
    <definedName name="wacc">'Inputs'!$B$12</definedName>
    <definedName name="gt">'Inputs'!$B$13</definedName>
    <definedName name="debt">'Inputs'!$B$14</definedName>
    <definedName name="cash">'Inputs'!$B$15</definedName>
    <definedName name="nci">'Inputs'!$B$16</definedName>
    <definedName name="other_inv">'Inputs'!$B$17</definedName>
    <definedName name="shares">'Inputs'!$B$18</definedName>
    <definedName name="price">'Inputs'!$B$19</definedName>
    <definedName name="fcff_row">'DCF'!$B$8:$F$8</definedName>
    <definedName name="t_row">'DCF'!$B$2:$F$2</definedName>
    <definedName name="nopat5">'DCF'!$F$6</definedName>
    <definedName name="pv_explicit">'DCF'!$B$12</definedName>
    <definedName name="fcff6">'DCF'!$B$13</definedName>
    <definedName name="tv">'DCF'!$B$14</definedName>
    <definedName name="pv_tv">'DCF'!$B$15</definedName>
    <definedName name="ev">'DCF'!$B$16</definedName>
    <definedName name="eqv">'DCF'!$B$18</definedName>
    <definedName name="vps">'DCF'!$B$19</definedName>
    <definedName name="rev_0">'Inputs'!$B$2</definedName>
    <definedName name="g_1">'Inputs'!$B$3</definedName>
    <definedName name="g_2">'Inputs'!$B$4</definedName>
    <definedName name="g_3">'Inputs'!$B$5</definedName>
    <definedName name="g_4">'Inputs'!$B$6</definedName>
    <definedName name="g_5">'Inputs'!$B$7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10" fontId="2" fillId="3" borderId="0" pivotButton="0" quotePrefix="0" xfId="0"/>
    <xf numFmtId="4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DCF ห้าปีพร้อมตารางความอ่อนไหว</t>
        </is>
      </c>
    </row>
    <row r="2">
      <c r="A2" s="2" t="inlineStr">
        <is>
          <t>FCFF จากตัวขับเคลื่อน: รายได้ × อัตรากำไร × (1 − T) × (1 − g ÷ RONIC) มูลค่าปลายงวดแบบ Gordon และสะพานสู่มูลค่าต่อหุ้น</t>
        </is>
      </c>
    </row>
    <row r="3">
      <c r="A3" s="2" t="inlineStr">
        <is>
          <t>บทที่เกี่ยวข้อง: บทที่ 28–29 (ตัวอย่างบริษัทสมมติ A ในหัวข้อ 28.6)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5">
      <c r="A15" s="2" t="inlineStr"/>
    </row>
    <row r="16">
      <c r="A16" s="3" t="inlineStr">
        <is>
          <t>สถานะเซลล์ตรวจทั้งหมด:</t>
        </is>
      </c>
    </row>
    <row r="17">
      <c r="A17" s="4">
        <f>IF(AND('DCF'!C21="OK"),"ทุกเซลล์ตรวจผ่าน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รายได้ปีล่าสุด</t>
        </is>
      </c>
      <c r="B2" s="6" t="n">
        <v>1000</v>
      </c>
      <c r="C2" t="inlineStr">
        <is>
          <t>ล้านบาท</t>
        </is>
      </c>
      <c r="D2" t="inlineStr">
        <is>
          <t>ปีฐาน</t>
        </is>
      </c>
      <c r="E2" t="inlineStr">
        <is>
          <t>ตัวอย่างตัวเลขสมมติ</t>
        </is>
      </c>
      <c r="F2" t="inlineStr">
        <is>
          <t>บทที่ 28.6</t>
        </is>
      </c>
    </row>
    <row r="3">
      <c r="A3" t="inlineStr">
        <is>
          <t>การเติบโตของรายได้ ปีที่ 1</t>
        </is>
      </c>
      <c r="B3" s="7" t="n">
        <v>0.1</v>
      </c>
      <c r="C3" t="inlineStr">
        <is>
          <t>ต่อปี</t>
        </is>
      </c>
      <c r="D3" t="inlineStr">
        <is>
          <t>ปีที่ 1</t>
        </is>
      </c>
      <c r="E3" t="inlineStr">
        <is>
          <t>ตัวอย่างตัวเลขสมมติ</t>
        </is>
      </c>
      <c r="F3" t="inlineStr">
        <is>
          <t>บทที่ 28.6</t>
        </is>
      </c>
    </row>
    <row r="4">
      <c r="A4" t="inlineStr">
        <is>
          <t>การเติบโตของรายได้ ปีที่ 2</t>
        </is>
      </c>
      <c r="B4" s="7" t="n">
        <v>0.1</v>
      </c>
      <c r="C4" t="inlineStr">
        <is>
          <t>ต่อปี</t>
        </is>
      </c>
      <c r="D4" t="inlineStr">
        <is>
          <t>ปีที่ 2</t>
        </is>
      </c>
      <c r="E4" t="inlineStr">
        <is>
          <t>ตัวอย่างตัวเลขสมมติ</t>
        </is>
      </c>
      <c r="F4" t="inlineStr">
        <is>
          <t>บทที่ 28.6</t>
        </is>
      </c>
    </row>
    <row r="5">
      <c r="A5" t="inlineStr">
        <is>
          <t>การเติบโตของรายได้ ปีที่ 3</t>
        </is>
      </c>
      <c r="B5" s="7" t="n">
        <v>0.08</v>
      </c>
      <c r="C5" t="inlineStr">
        <is>
          <t>ต่อปี</t>
        </is>
      </c>
      <c r="D5" t="inlineStr">
        <is>
          <t>ปีที่ 3</t>
        </is>
      </c>
      <c r="E5" t="inlineStr">
        <is>
          <t>ตัวอย่างตัวเลขสมมติ</t>
        </is>
      </c>
      <c r="F5" t="inlineStr">
        <is>
          <t>บทที่ 28.6</t>
        </is>
      </c>
    </row>
    <row r="6">
      <c r="A6" t="inlineStr">
        <is>
          <t>การเติบโตของรายได้ ปีที่ 4</t>
        </is>
      </c>
      <c r="B6" s="7" t="n">
        <v>0.06</v>
      </c>
      <c r="C6" t="inlineStr">
        <is>
          <t>ต่อปี</t>
        </is>
      </c>
      <c r="D6" t="inlineStr">
        <is>
          <t>ปีที่ 4</t>
        </is>
      </c>
      <c r="E6" t="inlineStr">
        <is>
          <t>ตัวอย่างตัวเลขสมมติ</t>
        </is>
      </c>
      <c r="F6" t="inlineStr">
        <is>
          <t>บทที่ 28.6</t>
        </is>
      </c>
    </row>
    <row r="7">
      <c r="A7" t="inlineStr">
        <is>
          <t>การเติบโตของรายได้ ปีที่ 5</t>
        </is>
      </c>
      <c r="B7" s="7" t="n">
        <v>0.04</v>
      </c>
      <c r="C7" t="inlineStr">
        <is>
          <t>ต่อปี</t>
        </is>
      </c>
      <c r="D7" t="inlineStr">
        <is>
          <t>ปีที่ 5</t>
        </is>
      </c>
      <c r="E7" t="inlineStr">
        <is>
          <t>ตัวอย่างตัวเลขสมมติ</t>
        </is>
      </c>
      <c r="F7" t="inlineStr">
        <is>
          <t>บทที่ 28.6</t>
        </is>
      </c>
    </row>
    <row r="8">
      <c r="A8" t="inlineStr">
        <is>
          <t>อัตรากำไรจากการดำเนินงาน</t>
        </is>
      </c>
      <c r="B8" s="7" t="n">
        <v>0.15</v>
      </c>
      <c r="C8" t="inlineStr">
        <is>
          <t>สัดส่วน</t>
        </is>
      </c>
      <c r="D8" t="inlineStr"/>
      <c r="E8" t="inlineStr">
        <is>
          <t>ตัวอย่างตัวเลขสมมติ</t>
        </is>
      </c>
      <c r="F8" t="inlineStr"/>
    </row>
    <row r="9">
      <c r="A9" t="inlineStr">
        <is>
          <t>อัตราภาษี</t>
        </is>
      </c>
      <c r="B9" s="7" t="n">
        <v>0.2</v>
      </c>
      <c r="C9" t="inlineStr">
        <is>
          <t>สัดส่วน</t>
        </is>
      </c>
      <c r="D9" t="inlineStr"/>
      <c r="E9" t="inlineStr">
        <is>
          <t>ตัวอย่างตัวเลขสมมติ</t>
        </is>
      </c>
      <c r="F9" t="inlineStr"/>
    </row>
    <row r="10">
      <c r="A10" t="inlineStr">
        <is>
          <t>RONIC (ผลตอบแทนต่อเงินลงทุนใหม่)</t>
        </is>
      </c>
      <c r="B10" s="7" t="n">
        <v>0.2</v>
      </c>
      <c r="C10" t="inlineStr">
        <is>
          <t>สัดส่วน</t>
        </is>
      </c>
      <c r="D10" t="inlineStr"/>
      <c r="E10" t="inlineStr">
        <is>
          <t>ตัวอย่างตัวเลขสมมติ</t>
        </is>
      </c>
      <c r="F10" t="inlineStr">
        <is>
          <t>บทที่ 28.2</t>
        </is>
      </c>
    </row>
    <row r="11">
      <c r="A11" t="inlineStr">
        <is>
          <t>RONIC ช่วงปลายงวด</t>
        </is>
      </c>
      <c r="B11" s="7" t="n">
        <v>0.2</v>
      </c>
      <c r="C11" t="inlineStr">
        <is>
          <t>สัดส่วน</t>
        </is>
      </c>
      <c r="D11" t="inlineStr"/>
      <c r="E11" t="inlineStr">
        <is>
          <t>ตัวอย่างตัวเลขสมมติ</t>
        </is>
      </c>
      <c r="F11" t="inlineStr">
        <is>
          <t>ตั้งเท่า WACC ถ้าคิดว่าการเติบโตหลังปีที่ 5 ไม่สร้างมูลค่า</t>
        </is>
      </c>
    </row>
    <row r="12">
      <c r="A12" t="inlineStr">
        <is>
          <t>WACC</t>
        </is>
      </c>
      <c r="B12" s="8" t="n">
        <v>0.09</v>
      </c>
      <c r="C12" t="inlineStr">
        <is>
          <t>ต่อปี</t>
        </is>
      </c>
      <c r="D12" t="inlineStr"/>
      <c r="E12" t="inlineStr">
        <is>
          <t>ตัวอย่างตัวเลขสมมติ</t>
        </is>
      </c>
      <c r="F12" t="inlineStr">
        <is>
          <t>แฟ้ม 03-wacc</t>
        </is>
      </c>
    </row>
    <row r="13">
      <c r="A13" t="inlineStr">
        <is>
          <t>การเติบโตระยะยาว (หลังปีที่ 5)</t>
        </is>
      </c>
      <c r="B13" s="8" t="n">
        <v>0.03</v>
      </c>
      <c r="C13" t="inlineStr">
        <is>
          <t>ต่อปี</t>
        </is>
      </c>
      <c r="D13" t="inlineStr"/>
      <c r="E13" t="inlineStr">
        <is>
          <t>ตัวอย่างตัวเลขสมมติ</t>
        </is>
      </c>
      <c r="F13" t="inlineStr"/>
    </row>
    <row r="14">
      <c r="A14" t="inlineStr">
        <is>
          <t>หนี้</t>
        </is>
      </c>
      <c r="B14" s="6" t="n">
        <v>300</v>
      </c>
      <c r="C14" t="inlineStr">
        <is>
          <t>ล้านบาท</t>
        </is>
      </c>
      <c r="D14" t="inlineStr"/>
      <c r="E14" t="inlineStr">
        <is>
          <t>ตัวอย่างตัวเลขสมมติ</t>
        </is>
      </c>
      <c r="F14" t="inlineStr"/>
    </row>
    <row r="15">
      <c r="A15" t="inlineStr">
        <is>
          <t>เงินสด</t>
        </is>
      </c>
      <c r="B15" s="6" t="n">
        <v>50</v>
      </c>
      <c r="C15" t="inlineStr">
        <is>
          <t>ล้านบาท</t>
        </is>
      </c>
      <c r="D15" t="inlineStr"/>
      <c r="E15" t="inlineStr">
        <is>
          <t>ตัวอย่างตัวเลขสมมติ</t>
        </is>
      </c>
      <c r="F15" t="inlineStr"/>
    </row>
    <row r="16">
      <c r="A16" t="inlineStr">
        <is>
          <t>ส่วนได้เสียที่ไม่มีอำนาจควบคุม</t>
        </is>
      </c>
      <c r="B16" s="6" t="n">
        <v>0</v>
      </c>
      <c r="C16" t="inlineStr">
        <is>
          <t>ล้านบาท</t>
        </is>
      </c>
      <c r="D16" t="inlineStr"/>
      <c r="E16" t="inlineStr">
        <is>
          <t>ตัวอย่างตัวเลขสมมติ</t>
        </is>
      </c>
      <c r="F16" t="inlineStr"/>
    </row>
    <row r="17">
      <c r="A17" t="inlineStr">
        <is>
          <t>เงินลงทุนที่ไม่อยู่ใน FCFF</t>
        </is>
      </c>
      <c r="B17" s="6" t="n">
        <v>0</v>
      </c>
      <c r="C17" t="inlineStr">
        <is>
          <t>ล้านบาท</t>
        </is>
      </c>
      <c r="D17" t="inlineStr"/>
      <c r="E17" t="inlineStr">
        <is>
          <t>ตัวอย่างตัวเลขสมมติ</t>
        </is>
      </c>
      <c r="F17" t="inlineStr"/>
    </row>
    <row r="18">
      <c r="A18" t="inlineStr">
        <is>
          <t>จำนวนหุ้นปรับลด</t>
        </is>
      </c>
      <c r="B18" s="6" t="n">
        <v>104</v>
      </c>
      <c r="C18" t="inlineStr">
        <is>
          <t>ล้านหุ้น</t>
        </is>
      </c>
      <c r="D18" t="inlineStr"/>
      <c r="E18" t="inlineStr">
        <is>
          <t>ตัวอย่างตัวเลขสมมติ</t>
        </is>
      </c>
      <c r="F18" t="inlineStr">
        <is>
          <t>บทที่ 28.5</t>
        </is>
      </c>
    </row>
    <row r="19">
      <c r="A19" t="inlineStr">
        <is>
          <t>ราคาปัจจุบัน (ไว้เทียบ)</t>
        </is>
      </c>
      <c r="B19" s="9" t="n">
        <v>20</v>
      </c>
      <c r="C19" t="inlineStr">
        <is>
          <t>บาทต่อหุ้น</t>
        </is>
      </c>
      <c r="D19" t="inlineStr"/>
      <c r="E19" t="inlineStr">
        <is>
          <t>ตัวอย่างตัวเลขสมมติ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5" t="inlineStr">
        <is>
          <t>รายการ</t>
        </is>
      </c>
      <c r="B1" s="5" t="inlineStr">
        <is>
          <t>ปีที่ 1</t>
        </is>
      </c>
      <c r="C1" s="5" t="inlineStr">
        <is>
          <t>ปีที่ 2</t>
        </is>
      </c>
      <c r="D1" s="5" t="inlineStr">
        <is>
          <t>ปีที่ 3</t>
        </is>
      </c>
      <c r="E1" s="5" t="inlineStr">
        <is>
          <t>ปีที่ 4</t>
        </is>
      </c>
      <c r="F1" s="5" t="inlineStr">
        <is>
          <t>ปีที่ 5</t>
        </is>
      </c>
    </row>
    <row r="2">
      <c r="A2" t="inlineStr">
        <is>
          <t>ปี t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การเติบโต</t>
        </is>
      </c>
      <c r="B3" s="10">
        <f>g_1</f>
        <v/>
      </c>
      <c r="C3" s="10">
        <f>g_2</f>
        <v/>
      </c>
      <c r="D3" s="10">
        <f>g_3</f>
        <v/>
      </c>
      <c r="E3" s="10">
        <f>g_4</f>
        <v/>
      </c>
      <c r="F3" s="10">
        <f>g_5</f>
        <v/>
      </c>
    </row>
    <row r="4">
      <c r="A4" t="inlineStr">
        <is>
          <t>รายได้</t>
        </is>
      </c>
      <c r="B4" s="11">
        <f>rev_0*(1+B3)</f>
        <v/>
      </c>
      <c r="C4" s="11">
        <f>B4*(1+C3)</f>
        <v/>
      </c>
      <c r="D4" s="11">
        <f>C4*(1+D3)</f>
        <v/>
      </c>
      <c r="E4" s="11">
        <f>D4*(1+E3)</f>
        <v/>
      </c>
      <c r="F4" s="11">
        <f>E4*(1+F3)</f>
        <v/>
      </c>
    </row>
    <row r="5">
      <c r="A5" t="inlineStr">
        <is>
          <t>EBIT</t>
        </is>
      </c>
      <c r="B5" s="11">
        <f>B4*margin</f>
        <v/>
      </c>
      <c r="C5" s="11">
        <f>C4*margin</f>
        <v/>
      </c>
      <c r="D5" s="11">
        <f>D4*margin</f>
        <v/>
      </c>
      <c r="E5" s="11">
        <f>E4*margin</f>
        <v/>
      </c>
      <c r="F5" s="11">
        <f>F4*margin</f>
        <v/>
      </c>
    </row>
    <row r="6">
      <c r="A6" t="inlineStr">
        <is>
          <t>NOPAT</t>
        </is>
      </c>
      <c r="B6" s="11">
        <f>B5*(1-tax)</f>
        <v/>
      </c>
      <c r="C6" s="11">
        <f>C5*(1-tax)</f>
        <v/>
      </c>
      <c r="D6" s="11">
        <f>D5*(1-tax)</f>
        <v/>
      </c>
      <c r="E6" s="11">
        <f>E5*(1-tax)</f>
        <v/>
      </c>
      <c r="F6" s="11">
        <f>F5*(1-tax)</f>
        <v/>
      </c>
    </row>
    <row r="7">
      <c r="A7" t="inlineStr">
        <is>
          <t>เงินลงทุนซ้ำ = NOPAT × g ÷ RONIC</t>
        </is>
      </c>
      <c r="B7" s="11">
        <f>B6*B3/ronic</f>
        <v/>
      </c>
      <c r="C7" s="11">
        <f>C6*C3/ronic</f>
        <v/>
      </c>
      <c r="D7" s="11">
        <f>D6*D3/ronic</f>
        <v/>
      </c>
      <c r="E7" s="11">
        <f>E6*E3/ronic</f>
        <v/>
      </c>
      <c r="F7" s="11">
        <f>F6*F3/ronic</f>
        <v/>
      </c>
    </row>
    <row r="8">
      <c r="A8" t="inlineStr">
        <is>
          <t>FCFF</t>
        </is>
      </c>
      <c r="B8" s="11">
        <f>B6-B7</f>
        <v/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</row>
    <row r="9">
      <c r="A9" t="inlineStr">
        <is>
          <t>ตัวคิดลด</t>
        </is>
      </c>
      <c r="B9" s="12">
        <f>(1+wacc)^-B2</f>
        <v/>
      </c>
      <c r="C9" s="12">
        <f>(1+wacc)^-C2</f>
        <v/>
      </c>
      <c r="D9" s="12">
        <f>(1+wacc)^-D2</f>
        <v/>
      </c>
      <c r="E9" s="12">
        <f>(1+wacc)^-E2</f>
        <v/>
      </c>
      <c r="F9" s="12">
        <f>(1+wacc)^-F2</f>
        <v/>
      </c>
    </row>
    <row r="10">
      <c r="A10" t="inlineStr">
        <is>
          <t>มูลค่าปัจจุบัน</t>
        </is>
      </c>
      <c r="B10" s="11">
        <f>B8*B9</f>
        <v/>
      </c>
      <c r="C10" s="11">
        <f>C8*C9</f>
        <v/>
      </c>
      <c r="D10" s="11">
        <f>D8*D9</f>
        <v/>
      </c>
      <c r="E10" s="11">
        <f>E8*E9</f>
        <v/>
      </c>
      <c r="F10" s="11">
        <f>F8*F9</f>
        <v/>
      </c>
    </row>
    <row r="11"/>
    <row r="12">
      <c r="A12" t="inlineStr">
        <is>
          <t>มูลค่าปัจจุบันของ FCFF ห้าปี</t>
        </is>
      </c>
      <c r="B12" s="11">
        <f>SUM(B10:F10)</f>
        <v/>
      </c>
    </row>
    <row r="13">
      <c r="A13" t="inlineStr">
        <is>
          <t>FCFF ปีที่ 6 = NOPAT5 × (1 + g) × (1 − g ÷ RONIC ปลายงวด)</t>
        </is>
      </c>
      <c r="B13" s="11">
        <f>nopat5*(1+gt)*(1-gt/ronic_t)</f>
        <v/>
      </c>
    </row>
    <row r="14">
      <c r="A14" t="inlineStr">
        <is>
          <t>มูลค่าปลายงวด TV5 = FCFF6 ÷ (WACC − g)</t>
        </is>
      </c>
      <c r="B14" s="11">
        <f>fcff6/(wacc-gt)</f>
        <v/>
      </c>
    </row>
    <row r="15">
      <c r="A15" t="inlineStr">
        <is>
          <t>มูลค่าปัจจุบันของ TV</t>
        </is>
      </c>
      <c r="B15" s="11">
        <f>tv*(1+wacc)^-5</f>
        <v/>
      </c>
    </row>
    <row r="16">
      <c r="A16" t="inlineStr">
        <is>
          <t>มูลค่ากิจการ (EV)</t>
        </is>
      </c>
      <c r="B16" s="11">
        <f>pv_explicit+pv_tv</f>
        <v/>
      </c>
    </row>
    <row r="17">
      <c r="A17" t="inlineStr">
        <is>
          <t>สัดส่วนของ TV ใน EV</t>
        </is>
      </c>
      <c r="B17" s="10">
        <f>pv_tv/ev</f>
        <v/>
      </c>
    </row>
    <row r="18">
      <c r="A18" t="inlineStr">
        <is>
          <t>มูลค่าส่วนของผู้ถือหุ้น = EV − หนี้ + เงินสด − NCI + เงินลงทุนอื่น</t>
        </is>
      </c>
      <c r="B18" s="11">
        <f>ev-debt+cash-nci+other_inv</f>
        <v/>
      </c>
    </row>
    <row r="19">
      <c r="A19" t="inlineStr">
        <is>
          <t>มูลค่าต่อหุ้น (ปรับลด)</t>
        </is>
      </c>
      <c r="B19" s="13">
        <f>eqv/shares</f>
        <v/>
      </c>
    </row>
    <row r="20">
      <c r="A20" t="inlineStr">
        <is>
          <t>Margin of Safety = (V − P) ÷ V</t>
        </is>
      </c>
      <c r="B20" s="10">
        <f>(vps-price)/vps</f>
        <v/>
      </c>
    </row>
    <row r="21">
      <c r="A21" s="4" t="inlineStr">
        <is>
          <t>ตรวจ: EV คำนวณซ้ำด้วย SUMPRODUCT</t>
        </is>
      </c>
      <c r="B21" s="14">
        <f>SUMPRODUCT(fcff_row,(1+wacc)^-t_row)+pv_tv-ev</f>
        <v/>
      </c>
      <c r="C21" s="15">
        <f>IF(ABS(B21)&lt;=0.01,"OK","ตรวจสอบ")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มูลค่าต่อหุ้น: WACC (แถว) × g ระยะยาว (คอลัมน์)</t>
        </is>
      </c>
      <c r="B1" s="5" t="inlineStr"/>
      <c r="C1" s="5" t="inlineStr"/>
      <c r="D1" s="5" t="inlineStr"/>
      <c r="E1" s="5" t="inlineStr"/>
    </row>
    <row r="2">
      <c r="B2" s="16">
        <f>gt+(-0.005)</f>
        <v/>
      </c>
      <c r="C2" s="16">
        <f>gt+(0.0)</f>
        <v/>
      </c>
      <c r="D2" s="16">
        <f>gt+(0.005)</f>
        <v/>
      </c>
    </row>
    <row r="3">
      <c r="A3" s="16">
        <f>wacc+(-0.01)</f>
        <v/>
      </c>
      <c r="B3" s="13">
        <f>(SUMPRODUCT(fcff_row,(1+$A3)^-t_row)+nopat5*(1+B$2)*(1-B$2/ronic_t)/($A3-B$2)*(1+$A3)^-5-debt+cash-nci+other_inv)/shares</f>
        <v/>
      </c>
      <c r="C3" s="13">
        <f>(SUMPRODUCT(fcff_row,(1+$A3)^-t_row)+nopat5*(1+C$2)*(1-C$2/ronic_t)/($A3-C$2)*(1+$A3)^-5-debt+cash-nci+other_inv)/shares</f>
        <v/>
      </c>
      <c r="D3" s="13">
        <f>(SUMPRODUCT(fcff_row,(1+$A3)^-t_row)+nopat5*(1+D$2)*(1-D$2/ronic_t)/($A3-D$2)*(1+$A3)^-5-debt+cash-nci+other_inv)/shares</f>
        <v/>
      </c>
    </row>
    <row r="4">
      <c r="A4" s="16">
        <f>wacc+(-0.005)</f>
        <v/>
      </c>
      <c r="B4" s="13">
        <f>(SUMPRODUCT(fcff_row,(1+$A4)^-t_row)+nopat5*(1+B$2)*(1-B$2/ronic_t)/($A4-B$2)*(1+$A4)^-5-debt+cash-nci+other_inv)/shares</f>
        <v/>
      </c>
      <c r="C4" s="13">
        <f>(SUMPRODUCT(fcff_row,(1+$A4)^-t_row)+nopat5*(1+C$2)*(1-C$2/ronic_t)/($A4-C$2)*(1+$A4)^-5-debt+cash-nci+other_inv)/shares</f>
        <v/>
      </c>
      <c r="D4" s="13">
        <f>(SUMPRODUCT(fcff_row,(1+$A4)^-t_row)+nopat5*(1+D$2)*(1-D$2/ronic_t)/($A4-D$2)*(1+$A4)^-5-debt+cash-nci+other_inv)/shares</f>
        <v/>
      </c>
    </row>
    <row r="5">
      <c r="A5" s="16">
        <f>wacc+(0.0)</f>
        <v/>
      </c>
      <c r="B5" s="13">
        <f>(SUMPRODUCT(fcff_row,(1+$A5)^-t_row)+nopat5*(1+B$2)*(1-B$2/ronic_t)/($A5-B$2)*(1+$A5)^-5-debt+cash-nci+other_inv)/shares</f>
        <v/>
      </c>
      <c r="C5" s="13">
        <f>(SUMPRODUCT(fcff_row,(1+$A5)^-t_row)+nopat5*(1+C$2)*(1-C$2/ronic_t)/($A5-C$2)*(1+$A5)^-5-debt+cash-nci+other_inv)/shares</f>
        <v/>
      </c>
      <c r="D5" s="13">
        <f>(SUMPRODUCT(fcff_row,(1+$A5)^-t_row)+nopat5*(1+D$2)*(1-D$2/ronic_t)/($A5-D$2)*(1+$A5)^-5-debt+cash-nci+other_inv)/shares</f>
        <v/>
      </c>
    </row>
    <row r="6">
      <c r="A6" s="16">
        <f>wacc+(0.005)</f>
        <v/>
      </c>
      <c r="B6" s="13">
        <f>(SUMPRODUCT(fcff_row,(1+$A6)^-t_row)+nopat5*(1+B$2)*(1-B$2/ronic_t)/($A6-B$2)*(1+$A6)^-5-debt+cash-nci+other_inv)/shares</f>
        <v/>
      </c>
      <c r="C6" s="13">
        <f>(SUMPRODUCT(fcff_row,(1+$A6)^-t_row)+nopat5*(1+C$2)*(1-C$2/ronic_t)/($A6-C$2)*(1+$A6)^-5-debt+cash-nci+other_inv)/shares</f>
        <v/>
      </c>
      <c r="D6" s="13">
        <f>(SUMPRODUCT(fcff_row,(1+$A6)^-t_row)+nopat5*(1+D$2)*(1-D$2/ronic_t)/($A6-D$2)*(1+$A6)^-5-debt+cash-nci+other_inv)/shares</f>
        <v/>
      </c>
    </row>
    <row r="7">
      <c r="A7" s="16">
        <f>wacc+(0.01)</f>
        <v/>
      </c>
      <c r="B7" s="13">
        <f>(SUMPRODUCT(fcff_row,(1+$A7)^-t_row)+nopat5*(1+B$2)*(1-B$2/ronic_t)/($A7-B$2)*(1+$A7)^-5-debt+cash-nci+other_inv)/shares</f>
        <v/>
      </c>
      <c r="C7" s="13">
        <f>(SUMPRODUCT(fcff_row,(1+$A7)^-t_row)+nopat5*(1+C$2)*(1-C$2/ronic_t)/($A7-C$2)*(1+$A7)^-5-debt+cash-nci+other_inv)/shares</f>
        <v/>
      </c>
      <c r="D7" s="13">
        <f>(SUMPRODUCT(fcff_row,(1+$A7)^-t_row)+nopat5*(1+D$2)*(1-D$2/ronic_t)/($A7-D$2)*(1+$A7)^-5-debt+cash-nci+other_inv)/shares</f>
        <v/>
      </c>
    </row>
    <row r="8"/>
    <row r="9">
      <c r="A9" t="inlineStr">
        <is>
          <t>ตัวเลขสองตำแหน่งไม่ได้แปลว่าแม่นยำ อ่านเป็นช่วง (หัวข้อ 28.7)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