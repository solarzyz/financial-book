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lc" sheetId="3" state="visible" r:id="rId3"/>
    <sheet xmlns:r="http://schemas.openxmlformats.org/officeDocument/2006/relationships" name="Grid" sheetId="4" state="visible" r:id="rId4"/>
    <sheet xmlns:r="http://schemas.openxmlformats.org/officeDocument/2006/relationships" name="ตรวจกับหนังสือ" sheetId="5" state="visible" r:id="rId5"/>
  </sheets>
  <definedNames>
    <definedName name="price">'Inputs'!$B$2</definedName>
    <definedName name="sh">'Inputs'!$B$3</definedName>
    <definedName name="mpe_debt">'Inputs'!$B$4</definedName>
    <definedName name="mpe_cash">'Inputs'!$B$5</definedName>
    <definedName name="nci">'Inputs'!$B$6</definedName>
    <definedName name="fp_eq">'Inputs'!$B$7</definedName>
    <definedName name="sales_fy">'Inputs'!$B$8</definedName>
    <definedName name="sales_h26">'Inputs'!$B$9</definedName>
    <definedName name="sales_h25">'Inputs'!$B$10</definedName>
    <definedName name="ebit_fy">'Inputs'!$B$11</definedName>
    <definedName name="ebit_h26">'Inputs'!$B$12</definedName>
    <definedName name="ebit_h25">'Inputs'!$B$13</definedName>
    <definedName name="tax">'Inputs'!$B$14</definedName>
    <definedName name="ronic">'Inputs'!$B$15</definedName>
    <definedName name="wacc">'Inputs'!$B$16</definedName>
    <definedName name="rf">'Inputs'!$B$22</definedName>
    <definedName name="erp">'Inputs'!$B$23</definedName>
    <definedName name="beta_u">'Inputs'!$B$24</definedName>
    <definedName name="beta_reg">'Inputs'!$B$25</definedName>
    <definedName name="tax_us">'Inputs'!$B$26</definedName>
    <definedName name="mcap">'Calc'!$B$2</definedName>
    <definedName name="ev_mpe">'Calc'!$B$3</definedName>
    <definedName name="ev_ops">'Calc'!$B$4</definedName>
    <definedName name="sales_ttm">'Calc'!$B$5</definedName>
    <definedName name="ebit_ttm">'Calc'!$B$6</definedName>
    <definedName name="m_ttm">'Calc'!$B$7</definedName>
    <definedName name="bridge">'Calc'!$B$8</definedName>
    <definedName name="eps_avg">'Calc'!$B$10</definedName>
    <definedName name="ke_bu">'Calc'!$B$14</definedName>
    <definedName name="ke_reg">'Calc'!$B$15</definedName>
    <definedName name="eps_2021">'Inputs'!$B$17</definedName>
    <definedName name="eps_2022">'Inputs'!$B$18</definedName>
    <definedName name="eps_2023">'Inputs'!$B$19</definedName>
    <definedName name="eps_2024">'Inputs'!$B$20</definedName>
    <definedName name="eps_2025">'Inputs'!$B$21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F4E9A"/>
    </font>
    <font>
      <name val="Calibri"/>
      <b val="1"/>
    </font>
    <font>
      <name val="Calibri"/>
      <b val="1"/>
      <color rgb="000B5D7A"/>
      <sz val="14"/>
    </font>
  </fonts>
  <fills count="5">
    <fill>
      <patternFill/>
    </fill>
    <fill>
      <patternFill patternType="gray125"/>
    </fill>
    <fill>
      <patternFill patternType="solid">
        <fgColor rgb="000B5D7A"/>
      </patternFill>
    </fill>
    <fill>
      <patternFill patternType="solid">
        <fgColor rgb="00FFF4D6"/>
      </patternFill>
    </fill>
    <fill>
      <patternFill patternType="solid">
        <fgColor rgb="00EA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4" fontId="2" fillId="3" borderId="0" pivotButton="0" quotePrefix="0" xfId="0"/>
    <xf numFmtId="0" fontId="2" fillId="3" borderId="0" pivotButton="0" quotePrefix="0" xfId="0"/>
    <xf numFmtId="164" fontId="2" fillId="3" borderId="0" pivotButton="0" quotePrefix="0" xfId="0"/>
    <xf numFmtId="10" fontId="2" fillId="3" borderId="0" pivotButton="0" quotePrefix="0" xfId="0"/>
    <xf numFmtId="2" fontId="2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4" fontId="0" fillId="4" borderId="0" pivotButton="0" quotePrefix="0" xfId="0"/>
    <xf numFmtId="0" fontId="0" fillId="4" borderId="0" pivotButton="0" quotePrefix="0" xfId="0"/>
    <xf numFmtId="164" fontId="3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โมเดล Caterpillar (CAT) ณ วันตัดข้อมูล</t>
        </is>
      </c>
    </row>
    <row r="2">
      <c r="A2" s="2" t="inlineStr">
        <is>
          <t>EV ของธุรกิจเครื่องจักรและพลังงาน (MP&amp;E) มูลค่าจากอัตรากำไรปกติ × การเติบโตระยะยาว P/E บนกำไรหลายปี และ ke สองวิธี</t>
        </is>
      </c>
    </row>
    <row r="3">
      <c r="A3" s="2" t="inlineStr">
        <is>
          <t>บทที่เกี่ยวข้อง: บทที่ 24–27, Case Lab ภาค 6 และบทที่ 60</t>
        </is>
      </c>
    </row>
    <row r="4">
      <c r="A4" s="2" t="inlineStr">
        <is>
          <t>เวอร์ชัน 2026-10-11 · ประกอบหนังสือ จากตัวเลขสู่การตัดสินใจ (Solar)</t>
        </is>
      </c>
    </row>
    <row r="5">
      <c r="A5" s="2" t="inlineStr"/>
    </row>
    <row r="6">
      <c r="A6" s="3" t="inlineStr">
        <is>
          <t>วิธีอ่านแฟ้ม (หัวข้อ 55.4)</t>
        </is>
      </c>
    </row>
    <row r="7">
      <c r="A7" s="2" t="inlineStr">
        <is>
          <t>• แผ่น Inputs: ตัวเลขที่พิมพ์ด้วยมือทั้งหมดอยู่ที่นี่ เซลล์สีเหลืองตัวอักษรน้ำเงินคือค่าที่คุณเปลี่ยนได้ ทุกแถวมีหน่วย งวด แหล่ง และหน้าหรือแถว</t>
        </is>
      </c>
    </row>
    <row r="8">
      <c r="A8" s="2" t="inlineStr">
        <is>
          <t>• แผ่นคำนวณ: มีแต่สูตร อ้างชื่อเซลล์จากแผ่น Inputs (ดูชื่อได้ที่ Formulas › Name Manager)</t>
        </is>
      </c>
    </row>
    <row r="9">
      <c r="A9" s="2" t="inlineStr">
        <is>
          <t>• เซลล์สีเขียว 'ตรวจ': คำนวณสองทางแล้วเทียบกัน ควรแสดง OK ถ้าแสดง 'ตรวจสอบ' ให้หาว่าข้อมูลนำเข้าตัวใดผิด</t>
        </is>
      </c>
    </row>
    <row r="10">
      <c r="A10" s="2" t="inlineStr">
        <is>
          <t>• ผลลัพธ์เป็นช่วงหรือตารางความอ่อนไหว ไม่ใช่ตัวเลขเดียว (บทที่ 29)</t>
        </is>
      </c>
    </row>
    <row r="11">
      <c r="A11" s="2" t="inlineStr"/>
    </row>
    <row r="12">
      <c r="A12" s="3" t="inlineStr">
        <is>
          <t>ข้อมูล ณ จุดตัดของหนังสือ: งบ FY2025 + งบระหว่างกาลไตรมาส 2 ปี 2026 · ราคาปิด 2026-09-30 ข้อมูลราคาและงบการเงินเปลี่ยนแปลงหลังการตีพิมพ์</t>
        </is>
      </c>
    </row>
    <row r="13">
      <c r="A13" s="2" t="inlineStr">
        <is>
          <t>สมมติฐานในโมเดลเป็นของผู้เขียน เมื่อคุณเห็นต่าง ให้เปลี่ยนในแผ่น Inputs และบันทึกเหตุผลในช่อง 5 ของ Thesis Canvas</t>
        </is>
      </c>
    </row>
    <row r="14">
      <c r="A14" s="2" t="inlineStr"/>
    </row>
    <row r="15">
      <c r="A15" s="2" t="inlineStr">
        <is>
          <t>เนื้อหาเพื่อการศึกษา ไม่ใช่คำแนะนำให้ซื้อ ขาย หรือถือหลักทรัพย์ใด และไม่มีราคาเป้าหมาย ผลในอดีตและตัวเลขสมมติไม่รับประกันผลในอนาคต</t>
        </is>
      </c>
    </row>
    <row r="16">
      <c r="A16" s="2" t="inlineStr"/>
    </row>
    <row r="17">
      <c r="A17" s="3" t="inlineStr">
        <is>
          <t>สถานะเซลล์ตรวจทั้งหมด:</t>
        </is>
      </c>
    </row>
    <row r="18">
      <c r="A18" s="4">
        <f>IF(AND('Calc'!C16="OK"),"ทุกเซลล์ตรวจผ่าน (OK)","มีเซลล์ตรวจที่ต้องตรวจสอบ")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34" customWidth="1" min="5" max="5"/>
    <col width="46" customWidth="1" min="6" max="6"/>
  </cols>
  <sheetData>
    <row r="1">
      <c r="A1" s="5" t="inlineStr">
        <is>
          <t>รายการ</t>
        </is>
      </c>
      <c r="B1" s="5" t="inlineStr">
        <is>
          <t>ค่า</t>
        </is>
      </c>
      <c r="C1" s="5" t="inlineStr">
        <is>
          <t>หน่วย</t>
        </is>
      </c>
      <c r="D1" s="5" t="inlineStr">
        <is>
          <t>งวด</t>
        </is>
      </c>
      <c r="E1" s="5" t="inlineStr">
        <is>
          <t>แหล่ง</t>
        </is>
      </c>
      <c r="F1" s="5" t="inlineStr">
        <is>
          <t>หน้า/แถว/หมายเหตุ</t>
        </is>
      </c>
    </row>
    <row r="2">
      <c r="A2" t="inlineStr">
        <is>
          <t>ราคาปิด</t>
        </is>
      </c>
      <c r="B2" s="6" t="n">
        <v>810.79</v>
      </c>
      <c r="C2" t="inlineStr">
        <is>
          <t>USD</t>
        </is>
      </c>
      <c r="D2" t="inlineStr">
        <is>
          <t>2026-09-30</t>
        </is>
      </c>
      <c r="E2" t="inlineStr">
        <is>
          <t>NYSE ผ่าน Nasdaq</t>
        </is>
      </c>
      <c r="F2" t="inlineStr">
        <is>
          <t>data/market/freeze-2026-09-30.csv</t>
        </is>
      </c>
    </row>
    <row r="3">
      <c r="A3" t="inlineStr">
        <is>
          <t>หุ้นที่ออกจำหน่าย</t>
        </is>
      </c>
      <c r="B3" s="6" t="n">
        <v>459.674889</v>
      </c>
      <c r="C3" t="inlineStr">
        <is>
          <t>ล้านหุ้น</t>
        </is>
      </c>
      <c r="D3" t="inlineStr">
        <is>
          <t>2026-06-30</t>
        </is>
      </c>
      <c r="E3" t="inlineStr">
        <is>
          <t>Caterpillar Form 10-Q Q2 2026</t>
        </is>
      </c>
      <c r="F3" t="inlineStr">
        <is>
          <t>หน้าปก</t>
        </is>
      </c>
    </row>
    <row r="4">
      <c r="A4" t="inlineStr">
        <is>
          <t>หนี้ MP&amp;E (35 + 10,655)</t>
        </is>
      </c>
      <c r="B4" s="7" t="n">
        <v>10690</v>
      </c>
      <c r="C4" t="inlineStr">
        <is>
          <t>ล้าน USD</t>
        </is>
      </c>
      <c r="D4" t="inlineStr">
        <is>
          <t>2026-06-30</t>
        </is>
      </c>
      <c r="E4" t="inlineStr">
        <is>
          <t>Caterpillar Form 10-Q Q2 2026</t>
        </is>
      </c>
      <c r="F4" t="inlineStr">
        <is>
          <t>หน้า 81</t>
        </is>
      </c>
    </row>
    <row r="5">
      <c r="A5" t="inlineStr">
        <is>
          <t>เงินสด MP&amp;E</t>
        </is>
      </c>
      <c r="B5" s="7" t="n">
        <v>5945</v>
      </c>
      <c r="C5" t="inlineStr">
        <is>
          <t>ล้าน USD</t>
        </is>
      </c>
      <c r="D5" t="inlineStr">
        <is>
          <t>2026-06-30</t>
        </is>
      </c>
      <c r="E5" t="inlineStr">
        <is>
          <t>Caterpillar Form 10-Q Q2 2026</t>
        </is>
      </c>
      <c r="F5" t="inlineStr">
        <is>
          <t>หน้า 81</t>
        </is>
      </c>
    </row>
    <row r="6">
      <c r="A6" t="inlineStr">
        <is>
          <t>ส่วนได้เสียที่ไม่มีอำนาจควบคุม</t>
        </is>
      </c>
      <c r="B6" s="7" t="n">
        <v>-1</v>
      </c>
      <c r="C6" t="inlineStr">
        <is>
          <t>ล้าน USD</t>
        </is>
      </c>
      <c r="D6" t="inlineStr">
        <is>
          <t>2026-06-30</t>
        </is>
      </c>
      <c r="E6" t="inlineStr">
        <is>
          <t>Caterpillar Form 10-Q Q2 2026</t>
        </is>
      </c>
      <c r="F6" t="inlineStr">
        <is>
          <t>หน้า 7</t>
        </is>
      </c>
    </row>
    <row r="7">
      <c r="A7" t="inlineStr">
        <is>
          <t>ส่วนของผู้ถือหุ้นธุรกิจการเงิน (ประเมินที่มูลค่าบัญชี)</t>
        </is>
      </c>
      <c r="B7" s="7" t="n">
        <v>5225</v>
      </c>
      <c r="C7" t="inlineStr">
        <is>
          <t>ล้าน USD</t>
        </is>
      </c>
      <c r="D7" t="inlineStr">
        <is>
          <t>2026-06-30</t>
        </is>
      </c>
      <c r="E7" t="inlineStr">
        <is>
          <t>Caterpillar Form 10-Q Q2 2026</t>
        </is>
      </c>
      <c r="F7" t="inlineStr">
        <is>
          <t>หน้า 78</t>
        </is>
      </c>
    </row>
    <row r="8">
      <c r="A8" t="inlineStr">
        <is>
          <t>ยอดขาย MP&amp;E — FY2025</t>
        </is>
      </c>
      <c r="B8" s="7" t="n">
        <v>63980</v>
      </c>
      <c r="C8" t="inlineStr">
        <is>
          <t>ล้าน USD</t>
        </is>
      </c>
      <c r="D8" t="inlineStr">
        <is>
          <t>FY2025</t>
        </is>
      </c>
      <c r="E8" t="inlineStr">
        <is>
          <t>Caterpillar Form 10-K FY2025</t>
        </is>
      </c>
      <c r="F8" t="inlineStr">
        <is>
          <t>หน้า 51</t>
        </is>
      </c>
    </row>
    <row r="9">
      <c r="A9" t="inlineStr">
        <is>
          <t>ยอดขาย MP&amp;E — H1 2026</t>
        </is>
      </c>
      <c r="B9" s="7" t="n">
        <v>36054</v>
      </c>
      <c r="C9" t="inlineStr">
        <is>
          <t>ล้าน USD</t>
        </is>
      </c>
      <c r="D9" t="inlineStr">
        <is>
          <t>H1 2026</t>
        </is>
      </c>
      <c r="E9" t="inlineStr">
        <is>
          <t>Caterpillar Form 10-Q Q2 2026</t>
        </is>
      </c>
      <c r="F9" t="inlineStr">
        <is>
          <t>หน้า 75, 77</t>
        </is>
      </c>
    </row>
    <row r="10">
      <c r="A10" t="inlineStr">
        <is>
          <t>ยอดขาย MP&amp;E — H1 2025</t>
        </is>
      </c>
      <c r="B10" s="7" t="n">
        <v>29052</v>
      </c>
      <c r="C10" t="inlineStr">
        <is>
          <t>ล้าน USD</t>
        </is>
      </c>
      <c r="D10" t="inlineStr">
        <is>
          <t>H1 2025</t>
        </is>
      </c>
      <c r="E10" t="inlineStr">
        <is>
          <t>Caterpillar Form 10-Q Q2 2026</t>
        </is>
      </c>
      <c r="F10" t="inlineStr">
        <is>
          <t>หน้า 75, 77</t>
        </is>
      </c>
    </row>
    <row r="11">
      <c r="A11" t="inlineStr">
        <is>
          <t>กำไรจากการดำเนินงาน MP&amp;E — FY2025</t>
        </is>
      </c>
      <c r="B11" s="7" t="n">
        <v>10884</v>
      </c>
      <c r="C11" t="inlineStr">
        <is>
          <t>ล้าน USD</t>
        </is>
      </c>
      <c r="D11" t="inlineStr">
        <is>
          <t>FY2025</t>
        </is>
      </c>
      <c r="E11" t="inlineStr">
        <is>
          <t>Caterpillar Form 10-K FY2025</t>
        </is>
      </c>
      <c r="F11" t="inlineStr">
        <is>
          <t>หน้า 51</t>
        </is>
      </c>
    </row>
    <row r="12">
      <c r="A12" t="inlineStr">
        <is>
          <t>กำไรจากการดำเนินงาน MP&amp;E — H1 2026</t>
        </is>
      </c>
      <c r="B12" s="7" t="n">
        <v>7213</v>
      </c>
      <c r="C12" t="inlineStr">
        <is>
          <t>ล้าน USD</t>
        </is>
      </c>
      <c r="D12" t="inlineStr">
        <is>
          <t>H1 2026</t>
        </is>
      </c>
      <c r="E12" t="inlineStr">
        <is>
          <t>Caterpillar Form 10-Q Q2 2026</t>
        </is>
      </c>
      <c r="F12" t="inlineStr">
        <is>
          <t>หน้า 75, 77</t>
        </is>
      </c>
    </row>
    <row r="13">
      <c r="A13" t="inlineStr">
        <is>
          <t>กำไรจากการดำเนินงาน MP&amp;E — H1 2025</t>
        </is>
      </c>
      <c r="B13" s="7" t="n">
        <v>5310</v>
      </c>
      <c r="C13" t="inlineStr">
        <is>
          <t>ล้าน USD</t>
        </is>
      </c>
      <c r="D13" t="inlineStr">
        <is>
          <t>H1 2025</t>
        </is>
      </c>
      <c r="E13" t="inlineStr">
        <is>
          <t>Caterpillar Form 10-Q Q2 2026</t>
        </is>
      </c>
      <c r="F13" t="inlineStr">
        <is>
          <t>หน้า 75, 77</t>
        </is>
      </c>
    </row>
    <row r="14">
      <c r="A14" t="inlineStr">
        <is>
          <t>อัตราภาษีที่คาดสำหรับปี 2026</t>
        </is>
      </c>
      <c r="B14" s="8" t="n">
        <v>0.23</v>
      </c>
      <c r="C14" t="inlineStr">
        <is>
          <t>สัดส่วน</t>
        </is>
      </c>
      <c r="D14" t="inlineStr">
        <is>
          <t>2026</t>
        </is>
      </c>
      <c r="E14" t="inlineStr">
        <is>
          <t>Caterpillar Form 10-Q Q2 2026</t>
        </is>
      </c>
      <c r="F14" t="inlineStr">
        <is>
          <t>หน้า 53</t>
        </is>
      </c>
    </row>
    <row r="15">
      <c r="A15" t="inlineStr">
        <is>
          <t>RONIC</t>
        </is>
      </c>
      <c r="B15" s="8" t="n">
        <v>0.3</v>
      </c>
      <c r="C15" t="inlineStr">
        <is>
          <t>สัดส่วน</t>
        </is>
      </c>
      <c r="D15" t="inlineStr"/>
      <c r="E15" t="inlineStr">
        <is>
          <t>ประมาณการโดยผู้เขียน</t>
        </is>
      </c>
      <c r="F15" t="inlineStr">
        <is>
          <t>Case Lab ภาค 6</t>
        </is>
      </c>
    </row>
    <row r="16">
      <c r="A16" t="inlineStr">
        <is>
          <t>WACC</t>
        </is>
      </c>
      <c r="B16" s="9" t="n">
        <v>0.089</v>
      </c>
      <c r="C16" t="inlineStr">
        <is>
          <t>ต่อปี</t>
        </is>
      </c>
      <c r="D16" t="inlineStr"/>
      <c r="E16" t="inlineStr">
        <is>
          <t>บทที่ 27 (bottom-up)</t>
        </is>
      </c>
      <c r="F16" t="inlineStr"/>
    </row>
    <row r="17">
      <c r="A17" t="inlineStr">
        <is>
          <t>EPS ปรับลด 2021</t>
        </is>
      </c>
      <c r="B17" s="6" t="n">
        <v>11.83</v>
      </c>
      <c r="C17" t="inlineStr">
        <is>
          <t>USD</t>
        </is>
      </c>
      <c r="D17" t="inlineStr">
        <is>
          <t>FY2021</t>
        </is>
      </c>
      <c r="E17" t="inlineStr">
        <is>
          <t>SEC companyfacts / 10-K</t>
        </is>
      </c>
      <c r="F17" t="inlineStr">
        <is>
          <t>ภาค 5–6</t>
        </is>
      </c>
    </row>
    <row r="18">
      <c r="A18" t="inlineStr">
        <is>
          <t>EPS ปรับลด 2022</t>
        </is>
      </c>
      <c r="B18" s="6" t="n">
        <v>12.64</v>
      </c>
      <c r="C18" t="inlineStr">
        <is>
          <t>USD</t>
        </is>
      </c>
      <c r="D18" t="inlineStr">
        <is>
          <t>FY2022</t>
        </is>
      </c>
      <c r="E18" t="inlineStr">
        <is>
          <t>SEC companyfacts / 10-K</t>
        </is>
      </c>
      <c r="F18" t="inlineStr">
        <is>
          <t>ภาค 5–6</t>
        </is>
      </c>
    </row>
    <row r="19">
      <c r="A19" t="inlineStr">
        <is>
          <t>EPS ปรับลด 2023</t>
        </is>
      </c>
      <c r="B19" s="6" t="n">
        <v>20.12</v>
      </c>
      <c r="C19" t="inlineStr">
        <is>
          <t>USD</t>
        </is>
      </c>
      <c r="D19" t="inlineStr">
        <is>
          <t>FY2023</t>
        </is>
      </c>
      <c r="E19" t="inlineStr">
        <is>
          <t>SEC companyfacts / 10-K</t>
        </is>
      </c>
      <c r="F19" t="inlineStr">
        <is>
          <t>ภาค 5–6</t>
        </is>
      </c>
    </row>
    <row r="20">
      <c r="A20" t="inlineStr">
        <is>
          <t>EPS ปรับลด 2024</t>
        </is>
      </c>
      <c r="B20" s="6" t="n">
        <v>22.05</v>
      </c>
      <c r="C20" t="inlineStr">
        <is>
          <t>USD</t>
        </is>
      </c>
      <c r="D20" t="inlineStr">
        <is>
          <t>FY2024</t>
        </is>
      </c>
      <c r="E20" t="inlineStr">
        <is>
          <t>SEC companyfacts / 10-K</t>
        </is>
      </c>
      <c r="F20" t="inlineStr">
        <is>
          <t>ภาค 5–6</t>
        </is>
      </c>
    </row>
    <row r="21">
      <c r="A21" t="inlineStr">
        <is>
          <t>EPS ปรับลด 2025</t>
        </is>
      </c>
      <c r="B21" s="6" t="n">
        <v>18.81</v>
      </c>
      <c r="C21" t="inlineStr">
        <is>
          <t>USD</t>
        </is>
      </c>
      <c r="D21" t="inlineStr">
        <is>
          <t>FY2025</t>
        </is>
      </c>
      <c r="E21" t="inlineStr">
        <is>
          <t>SEC companyfacts / 10-K</t>
        </is>
      </c>
      <c r="F21" t="inlineStr">
        <is>
          <t>ภาค 5–6</t>
        </is>
      </c>
    </row>
    <row r="22">
      <c r="A22" t="inlineStr">
        <is>
          <t>อัตราผลตอบแทนพันธบัตรรัฐบาลสหรัฐฯ 10 ปี</t>
        </is>
      </c>
      <c r="B22" s="9" t="n">
        <v>0.0529</v>
      </c>
      <c r="C22" t="inlineStr">
        <is>
          <t>ต่อปี</t>
        </is>
      </c>
      <c r="D22" t="inlineStr">
        <is>
          <t>2026-09-30</t>
        </is>
      </c>
      <c r="E22" t="inlineStr">
        <is>
          <t>US Treasury</t>
        </is>
      </c>
      <c r="F22" t="inlineStr"/>
    </row>
    <row r="23">
      <c r="A23" t="inlineStr">
        <is>
          <t>ERP ตลาดพัฒนาแล้ว</t>
        </is>
      </c>
      <c r="B23" s="9" t="n">
        <v>0.042</v>
      </c>
      <c r="C23" t="inlineStr">
        <is>
          <t>ต่อปี</t>
        </is>
      </c>
      <c r="D23" t="inlineStr">
        <is>
          <t>กรกฎาคม 2026</t>
        </is>
      </c>
      <c r="E23" t="inlineStr">
        <is>
          <t>Damodaran</t>
        </is>
      </c>
      <c r="F23" t="inlineStr">
        <is>
          <t>แถว 3</t>
        </is>
      </c>
    </row>
    <row r="24">
      <c r="A24" t="inlineStr">
        <is>
          <t>เบตาไม่มีหนี้ เครื่องจักร</t>
        </is>
      </c>
      <c r="B24" s="10" t="n">
        <v>0.87</v>
      </c>
      <c r="C24" t="inlineStr">
        <is>
          <t>เท่า</t>
        </is>
      </c>
      <c r="D24" t="inlineStr">
        <is>
          <t>มกราคม 2026</t>
        </is>
      </c>
      <c r="E24" t="inlineStr">
        <is>
          <t>Damodaran Betas.html</t>
        </is>
      </c>
      <c r="F24" t="inlineStr">
        <is>
          <t>Machinery</t>
        </is>
      </c>
    </row>
    <row r="25">
      <c r="A25" t="inlineStr">
        <is>
          <t>เบตาจากการถดถอย 5 ปี รายเดือน</t>
        </is>
      </c>
      <c r="B25" s="10" t="n">
        <v>1.61</v>
      </c>
      <c r="C25" t="inlineStr">
        <is>
          <t>เท่า</t>
        </is>
      </c>
      <c r="D25" t="inlineStr">
        <is>
          <t>ถึง 2026-09-30</t>
        </is>
      </c>
      <c r="E25" t="inlineStr">
        <is>
          <t>คำนวณโดยผู้เขียน</t>
        </is>
      </c>
      <c r="F25" t="inlineStr">
        <is>
          <t>data/market/betas-2026-09-30.csv</t>
        </is>
      </c>
    </row>
    <row r="26">
      <c r="A26" t="inlineStr">
        <is>
          <t>อัตราภาษีตามกฎหมายของสหรัฐฯ</t>
        </is>
      </c>
      <c r="B26" s="8" t="n">
        <v>0.21</v>
      </c>
      <c r="C26" t="inlineStr">
        <is>
          <t>สัดส่วน</t>
        </is>
      </c>
      <c r="D26" t="inlineStr"/>
      <c r="E26" t="inlineStr">
        <is>
          <t>Coca-Cola Form 10-K FY2025</t>
        </is>
      </c>
      <c r="F26" t="inlineStr">
        <is>
          <t>หน้า 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>
      <c r="A1" s="5" t="inlineStr">
        <is>
          <t>รายการ</t>
        </is>
      </c>
      <c r="B1" s="5" t="inlineStr">
        <is>
          <t>ค่า</t>
        </is>
      </c>
      <c r="C1" s="5" t="inlineStr">
        <is>
          <t>หน่วย/หมายเหตุ</t>
        </is>
      </c>
    </row>
    <row r="2">
      <c r="A2" t="inlineStr">
        <is>
          <t>มูลค่าตลาด</t>
        </is>
      </c>
      <c r="B2" s="11">
        <f>price*sh</f>
        <v/>
      </c>
    </row>
    <row r="3">
      <c r="A3" t="inlineStr">
        <is>
          <t>EV MP&amp;E = มูลค่าตลาด + หนี้ − เงินสด + NCI</t>
        </is>
      </c>
      <c r="B3" s="11">
        <f>mcap+mpe_debt-mpe_cash+nci</f>
        <v/>
      </c>
    </row>
    <row r="4">
      <c r="A4" t="inlineStr">
        <is>
          <t>EV ธุรกิจหลัก = EV MP&amp;E − ส่วนของผู้ถือหุ้นธุรกิจการเงิน</t>
        </is>
      </c>
      <c r="B4" s="11">
        <f>ev_mpe-fp_eq</f>
        <v/>
      </c>
    </row>
    <row r="5">
      <c r="A5" t="inlineStr">
        <is>
          <t>ยอดขาย MP&amp;E TTM</t>
        </is>
      </c>
      <c r="B5" s="11">
        <f>sales_fy+sales_h26-sales_h25</f>
        <v/>
      </c>
    </row>
    <row r="6">
      <c r="A6" t="inlineStr">
        <is>
          <t>EBIT MP&amp;E TTM</t>
        </is>
      </c>
      <c r="B6" s="11">
        <f>ebit_fy+ebit_h26-ebit_h25</f>
        <v/>
      </c>
    </row>
    <row r="7">
      <c r="A7" t="inlineStr">
        <is>
          <t>อัตรากำไร MP&amp;E TTM</t>
        </is>
      </c>
      <c r="B7" s="12">
        <f>ebit_ttm/sales_ttm</f>
        <v/>
      </c>
    </row>
    <row r="8">
      <c r="A8" t="inlineStr">
        <is>
          <t>สะพานสู่มูลค่าหุ้น = เงินสด − หนี้ − NCI + ส่วนของผู้ถือหุ้นธุรกิจการเงิน</t>
        </is>
      </c>
      <c r="B8" s="11">
        <f>mpe_cash-mpe_debt-nci+fp_eq</f>
        <v/>
      </c>
    </row>
    <row r="9"/>
    <row r="10">
      <c r="A10" t="inlineStr">
        <is>
          <t>EPS เฉลี่ย 2021–2025</t>
        </is>
      </c>
      <c r="B10" s="13">
        <f>(eps_2021+eps_2022+eps_2023+eps_2024+eps_2025)/5</f>
        <v/>
      </c>
    </row>
    <row r="11">
      <c r="A11" t="inlineStr">
        <is>
          <t>P/E บน EPS 2025</t>
        </is>
      </c>
      <c r="B11" s="14">
        <f>price/eps_2025</f>
        <v/>
      </c>
    </row>
    <row r="12">
      <c r="A12" t="inlineStr">
        <is>
          <t>P/E บน EPS เฉลี่ยห้าปี</t>
        </is>
      </c>
      <c r="B12" s="14">
        <f>price/eps_avg</f>
        <v/>
      </c>
    </row>
    <row r="13"/>
    <row r="14">
      <c r="A14" t="inlineStr">
        <is>
          <t>ke จากเบตาอุตสาหกรรม (bottom-up)</t>
        </is>
      </c>
      <c r="B14" s="15">
        <f>rf+beta_u*(1+(1-tax_us)*mpe_debt/mcap)*erp</f>
        <v/>
      </c>
    </row>
    <row r="15">
      <c r="A15" t="inlineStr">
        <is>
          <t>ke จากเบตาการถดถอย</t>
        </is>
      </c>
      <c r="B15" s="15">
        <f>rf+beta_reg*erp</f>
        <v/>
      </c>
    </row>
    <row r="16">
      <c r="A16" s="4" t="inlineStr">
        <is>
          <t>ตรวจ: EV ธุรกิจหลัก + สะพาน = มูลค่าตลาด</t>
        </is>
      </c>
      <c r="B16" s="16">
        <f>ev_ops+bridge-mcap</f>
        <v/>
      </c>
      <c r="C16" s="17">
        <f>IF(ABS(B16)&lt;=0.5,"OK","ตรวจสอบ")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มูลค่าต่อหุ้น = [ยอดขาย × อัตรากำไร × (1 − T) × (1 + g) × (1 − g ÷ RONIC) ÷ (WACC − g) + สะพาน] ÷ หุ้น</t>
        </is>
      </c>
      <c r="B1" s="5" t="inlineStr"/>
      <c r="C1" s="5" t="inlineStr"/>
      <c r="D1" s="5" t="inlineStr"/>
    </row>
    <row r="2">
      <c r="B2" s="18" t="n">
        <v>0.02</v>
      </c>
      <c r="C2" s="18" t="n">
        <v>0.03</v>
      </c>
      <c r="D2" s="18" t="n">
        <v>0.04</v>
      </c>
    </row>
    <row r="3">
      <c r="A3" s="18" t="n">
        <v>0.137</v>
      </c>
      <c r="B3" s="11">
        <f>(sales_ttm*$A3*(1-tax)*(1+B$2)*(1-B$2/ronic)/(wacc-B$2)+bridge)/sh</f>
        <v/>
      </c>
      <c r="C3" s="11">
        <f>(sales_ttm*$A3*(1-tax)*(1+C$2)*(1-C$2/ronic)/(wacc-C$2)+bridge)/sh</f>
        <v/>
      </c>
      <c r="D3" s="11">
        <f>(sales_ttm*$A3*(1-tax)*(1+D$2)*(1-D$2/ronic)/(wacc-D$2)+bridge)/sh</f>
        <v/>
      </c>
    </row>
    <row r="4">
      <c r="A4" s="18" t="n">
        <v>0.166</v>
      </c>
      <c r="B4" s="11">
        <f>(sales_ttm*$A4*(1-tax)*(1+B$2)*(1-B$2/ronic)/(wacc-B$2)+bridge)/sh</f>
        <v/>
      </c>
      <c r="C4" s="11">
        <f>(sales_ttm*$A4*(1-tax)*(1+C$2)*(1-C$2/ronic)/(wacc-C$2)+bridge)/sh</f>
        <v/>
      </c>
      <c r="D4" s="11">
        <f>(sales_ttm*$A4*(1-tax)*(1+D$2)*(1-D$2/ronic)/(wacc-D$2)+bridge)/sh</f>
        <v/>
      </c>
    </row>
    <row r="5">
      <c r="A5" s="18" t="n">
        <v>0.18</v>
      </c>
      <c r="B5" s="11">
        <f>(sales_ttm*$A5*(1-tax)*(1+B$2)*(1-B$2/ronic)/(wacc-B$2)+bridge)/sh</f>
        <v/>
      </c>
      <c r="C5" s="11">
        <f>(sales_ttm*$A5*(1-tax)*(1+C$2)*(1-C$2/ronic)/(wacc-C$2)+bridge)/sh</f>
        <v/>
      </c>
      <c r="D5" s="11">
        <f>(sales_ttm*$A5*(1-tax)*(1+D$2)*(1-D$2/ronic)/(wacc-D$2)+bridge)/sh</f>
        <v/>
      </c>
    </row>
    <row r="6"/>
    <row r="7">
      <c r="A7" t="inlineStr">
        <is>
          <t>13.7% และ 16.6% คืออัตรากำไรอ้างอิงที่ใช้ใน Case Lab ภาค 6 ราคาวันนี้อยู่เหนือทั้งตาราง (บทที่ 60)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8" customWidth="1" min="3" max="3"/>
    <col width="12" customWidth="1" min="4" max="4"/>
    <col width="30" customWidth="1" min="5" max="5"/>
  </cols>
  <sheetData>
    <row r="1">
      <c r="A1" s="5" t="inlineStr">
        <is>
          <t>รายการ</t>
        </is>
      </c>
      <c r="B1" s="5" t="inlineStr">
        <is>
          <t>ค่าในโมเดล</t>
        </is>
      </c>
      <c r="C1" s="5" t="inlineStr">
        <is>
          <t>ค่าที่พิมพ์ในหนังสือ</t>
        </is>
      </c>
      <c r="D1" s="5" t="inlineStr">
        <is>
          <t>ผลต่าง</t>
        </is>
      </c>
      <c r="E1" s="5" t="inlineStr">
        <is>
          <t>บท/ตาราง</t>
        </is>
      </c>
    </row>
    <row r="2">
      <c r="A2" t="inlineStr">
        <is>
          <t>EPS เฉลี่ย 2021–2025</t>
        </is>
      </c>
      <c r="B2" s="13">
        <f>eps_avg</f>
        <v/>
      </c>
      <c r="C2" s="13" t="n">
        <v>17.09</v>
      </c>
      <c r="D2" s="13">
        <f>B2-C2</f>
        <v/>
      </c>
      <c r="E2" t="inlineStr">
        <is>
          <t>บทที่ 26 (17.09)</t>
        </is>
      </c>
    </row>
    <row r="3">
      <c r="A3" t="inlineStr">
        <is>
          <t>P/E บน EPS 2025</t>
        </is>
      </c>
      <c r="B3" s="19">
        <f>price/eps_2025</f>
        <v/>
      </c>
      <c r="C3" s="19" t="n">
        <v>43.1</v>
      </c>
      <c r="D3" s="19">
        <f>B3-C3</f>
        <v/>
      </c>
      <c r="E3" t="inlineStr">
        <is>
          <t>บทที่ 23 (43.1)</t>
        </is>
      </c>
    </row>
    <row r="4">
      <c r="A4" t="inlineStr">
        <is>
          <t>ke bottom-up</t>
        </is>
      </c>
      <c r="B4" s="15">
        <f>ke_bu</f>
        <v/>
      </c>
      <c r="C4" s="15" t="n">
        <v>0.09</v>
      </c>
      <c r="D4" s="15">
        <f>B4-C4</f>
        <v/>
      </c>
      <c r="E4" t="inlineStr">
        <is>
          <t>บทที่ 27 (9.0%)</t>
        </is>
      </c>
    </row>
    <row r="5">
      <c r="A5" t="inlineStr">
        <is>
          <t>ke การถดถอย</t>
        </is>
      </c>
      <c r="B5" s="15">
        <f>ke_reg</f>
        <v/>
      </c>
      <c r="C5" s="15" t="n">
        <v>0.121</v>
      </c>
      <c r="D5" s="15">
        <f>B5-C5</f>
        <v/>
      </c>
      <c r="E5" t="inlineStr">
        <is>
          <t>บทที่ 27 (12.1%)</t>
        </is>
      </c>
    </row>
    <row r="6"/>
    <row r="7">
      <c r="A7" t="inlineStr">
        <is>
          <t>ค่าในหนังสือปัดเศษแล้ว ผลต่างเล็กน้อยจากการปัดเศษเป็นเรื่องปกติ ค่าที่พิมพ์ในคอลัมน์ C ใช้ตรวจเท่านั้น ไม่ใช่ข้อมูลนำเข้า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2026-10-11T08:30:25Z</dcterms:created>
  <dcterms:modified xmlns:dcterms="http://purl.org/dc/terms/" xmlns:xsi="http://www.w3.org/2001/XMLSchema-instance" xsi:type="dcterms:W3CDTF">2026-10-11T08:30:25Z</dcterms:modified>
</cp:coreProperties>
</file>